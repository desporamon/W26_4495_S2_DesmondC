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d4f25ae689476683/Desmond_New/BC-Health-Platform/DocumentsAndReports/worklog/"/>
    </mc:Choice>
  </mc:AlternateContent>
  <xr:revisionPtr revIDLastSave="1074" documentId="8_{08655895-4010-492B-B73A-F5D36A9F8AF8}" xr6:coauthVersionLast="47" xr6:coauthVersionMax="47" xr10:uidLastSave="{A3E214E2-00D8-4A74-9FEB-F97952A5FCDE}"/>
  <bookViews>
    <workbookView xWindow="-120" yWindow="-16320" windowWidth="29040" windowHeight="15720" xr2:uid="{00000000-000D-0000-FFFF-FFFF00000000}"/>
  </bookViews>
  <sheets>
    <sheet name="Work Log" sheetId="1" r:id="rId1"/>
    <sheet name="Dashboard" sheetId="2" r:id="rId2"/>
    <sheet name="Categories"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35" i="1" l="1"/>
  <c r="B57" i="2"/>
  <c r="B61" i="2"/>
  <c r="B48" i="2"/>
  <c r="C12" i="2"/>
  <c r="B60" i="2" l="1"/>
  <c r="B67" i="2"/>
  <c r="B66" i="2"/>
  <c r="B65" i="2"/>
  <c r="D11" i="2" s="1"/>
  <c r="E11" i="2" s="1"/>
  <c r="B64" i="2"/>
  <c r="B63" i="2"/>
  <c r="B62" i="2"/>
  <c r="D9" i="2" s="1"/>
  <c r="B46" i="2"/>
  <c r="D5" i="2" s="1"/>
  <c r="E5" i="2" s="1"/>
  <c r="B49" i="2"/>
  <c r="B53" i="2"/>
  <c r="B50" i="2"/>
  <c r="B54" i="2"/>
  <c r="B58" i="2"/>
  <c r="B47" i="2"/>
  <c r="B51" i="2"/>
  <c r="B55" i="2"/>
  <c r="B59" i="2"/>
  <c r="B52" i="2"/>
  <c r="B56" i="2"/>
  <c r="D10" i="2" l="1"/>
  <c r="E10" i="2" s="1"/>
  <c r="D8" i="2"/>
  <c r="E8" i="2" s="1"/>
  <c r="B68" i="2"/>
  <c r="E9" i="2"/>
  <c r="D7" i="2"/>
  <c r="E7" i="2" s="1"/>
  <c r="D6" i="2"/>
  <c r="E6" i="2" l="1"/>
  <c r="D12" i="2"/>
  <c r="E12" i="2" s="1"/>
</calcChain>
</file>

<file path=xl/sharedStrings.xml><?xml version="1.0" encoding="utf-8"?>
<sst xmlns="http://schemas.openxmlformats.org/spreadsheetml/2006/main" count="1368" uniqueCount="548">
  <si>
    <t>CSIS 4495 - Applied Research Project</t>
  </si>
  <si>
    <t>Work Log - Desmond Chua (300369803)</t>
  </si>
  <si>
    <t>BC Personal Health Management Platform</t>
  </si>
  <si>
    <t>Date</t>
  </si>
  <si>
    <t>Sprint</t>
  </si>
  <si>
    <t>Duration</t>
  </si>
  <si>
    <t>Hours</t>
  </si>
  <si>
    <t>Category</t>
  </si>
  <si>
    <t>Task ID</t>
  </si>
  <si>
    <t>Description of Work Done</t>
  </si>
  <si>
    <t>2026-01-09</t>
  </si>
  <si>
    <t>2 hr</t>
  </si>
  <si>
    <t>0: Environment Setup</t>
  </si>
  <si>
    <t>Attended CSIS 4495 class; reviewed project requirements; brainstormed initial ideas based on Richmond Hospital experience</t>
  </si>
  <si>
    <t>1.5 hr</t>
  </si>
  <si>
    <t>Researched BC healthcare navigation tools; identified gap in existing solutions</t>
  </si>
  <si>
    <t>2026-01-15</t>
  </si>
  <si>
    <t>Learning &amp; Research</t>
  </si>
  <si>
    <t>Drafted initial chatbot concept; researched CTAS triage guidelines</t>
  </si>
  <si>
    <t>2026-01-16</t>
  </si>
  <si>
    <t>1 hr</t>
  </si>
  <si>
    <t>Meeting #1 with instructor; received feedback to broaden scope; began expanding to multi-feature platform</t>
  </si>
  <si>
    <t>2026-01-17</t>
  </si>
  <si>
    <t>2.5 hr</t>
  </si>
  <si>
    <t>Researched OpenAI API documentation; explored integration options</t>
  </si>
  <si>
    <t>2026-01-18</t>
  </si>
  <si>
    <t>Meeting #2 with instructor (virtual); Option 1 approved; received guidance on focus areas</t>
  </si>
  <si>
    <t>2026-01-19</t>
  </si>
  <si>
    <t>3 hr</t>
  </si>
  <si>
    <t>Designed hybrid classification approach; researched Kaggle symptom datasets</t>
  </si>
  <si>
    <t>2026-01-20</t>
  </si>
  <si>
    <t>Created GitHub repository; set up project structure</t>
  </si>
  <si>
    <t>2026-01-21</t>
  </si>
  <si>
    <t>Researched ML analytics techniques for dashboards; planned Power BI integration</t>
  </si>
  <si>
    <t>2026-01-22</t>
  </si>
  <si>
    <t>Explored synthetic data generation approaches; documented data strategy</t>
  </si>
  <si>
    <t>2026-01-23</t>
  </si>
  <si>
    <t>6: Documentation + Submission</t>
  </si>
  <si>
    <t>Drafted proposal introduction and literature review sections</t>
  </si>
  <si>
    <t>2026-01-24</t>
  </si>
  <si>
    <t>3.5 hr</t>
  </si>
  <si>
    <t>Completed methodology section; created technical architecture diagram</t>
  </si>
  <si>
    <t>2026-01-30</t>
  </si>
  <si>
    <t>15 min</t>
  </si>
  <si>
    <t>0.1</t>
  </si>
  <si>
    <t>Install Python 3.13+ and verify installation</t>
  </si>
  <si>
    <t>0.2</t>
  </si>
  <si>
    <t>Install Visual Studio Code with Claude Code extension</t>
  </si>
  <si>
    <t>0.3</t>
  </si>
  <si>
    <t>Create GitHub repo (W26_4495_S2_DesmondC); set up folder structure; add instructor as collaborator</t>
  </si>
  <si>
    <t>0.4a</t>
  </si>
  <si>
    <t>Create OpenAI account; add $5 API credit</t>
  </si>
  <si>
    <t>5 min</t>
  </si>
  <si>
    <t>0.4b</t>
  </si>
  <si>
    <t>Create OpenAI API key (BC-Health-Platform)</t>
  </si>
  <si>
    <t>Attended CSIS 4495 Lesson 4 class; individual check-in with instructor; received feedback on project approach</t>
  </si>
  <si>
    <t>10 min</t>
  </si>
  <si>
    <t>0.5</t>
  </si>
  <si>
    <t>Created Streamlit Cloud account; connected with GitHub for deployment</t>
  </si>
  <si>
    <t>0.6</t>
  </si>
  <si>
    <t>Created Python virtual environment (venv) for isolated project dependencies</t>
  </si>
  <si>
    <t>0.7</t>
  </si>
  <si>
    <t>Installed packages: streamlit, openai, pandas, scikit-learn, plotly, folium, python-dotenv, numpy, nltk, sqlalchemy, spacy</t>
  </si>
  <si>
    <t>0.8</t>
  </si>
  <si>
    <t>Ran 'streamlit hello' to verify Streamlit installation; demo app loaded successfully at localhost:8501</t>
  </si>
  <si>
    <t>0.9</t>
  </si>
  <si>
    <t>Created requirements.txt using pip freeze; removed spacy model reference for clean deployment</t>
  </si>
  <si>
    <t>2026-01-31</t>
  </si>
  <si>
    <t>25 min</t>
  </si>
  <si>
    <t>L2</t>
  </si>
  <si>
    <t>Udemy Streamlit ML Deployment - Lesson 2: Installation and Setup (virtual environments, Python 3.8-3.12, streamlit hello)</t>
  </si>
  <si>
    <t>35 min</t>
  </si>
  <si>
    <t>L3</t>
  </si>
  <si>
    <t>Udemy Streamlit ML Deployment - Lesson 3: Overview of Streamlit (data flow concept, caching preview, key features)</t>
  </si>
  <si>
    <t>30 min</t>
  </si>
  <si>
    <t>L4</t>
  </si>
  <si>
    <t>Udemy Streamlit ML Deployment - Lesson 4: Creating Basic Streamlit App (main.py, st.text, auto-reload workflow)</t>
  </si>
  <si>
    <t>2026-02-01</t>
  </si>
  <si>
    <t>L5</t>
  </si>
  <si>
    <t>Udemy Streamlit ML Deployment - Lesson 5: Text Elements (st.title, st.header, st.markdown, st.code, st.latex)</t>
  </si>
  <si>
    <t>20 min</t>
  </si>
  <si>
    <t>L6</t>
  </si>
  <si>
    <t>Udemy Streamlit ML Deployment - Lesson 6: Data Display Elements (st.dataframe, st.table, st.metric for KPIs)</t>
  </si>
  <si>
    <t>L7</t>
  </si>
  <si>
    <t>Udemy Streamlit ML Deployment - Lesson 7: Charting Elements (st.line_chart, st.bar_chart, st.area_chart, st.map)</t>
  </si>
  <si>
    <t>L8-9</t>
  </si>
  <si>
    <t>Udemy Streamlit ML Deployment - Lessons 8-9: Input Widgets (st.button, st.checkbox, st.radio, st.selectbox, st.slider)</t>
  </si>
  <si>
    <t>L10</t>
  </si>
  <si>
    <t>Udemy Streamlit ML Deployment - Lesson 10: Forms (st.form, form_submit_button, batch submissions)</t>
  </si>
  <si>
    <t>L11</t>
  </si>
  <si>
    <t>Udemy Streamlit ML Deployment - Lesson 11: Layout Elements (st.sidebar, st.columns, st.tabs, st.expander)</t>
  </si>
  <si>
    <t>40 min</t>
  </si>
  <si>
    <t>L12-13</t>
  </si>
  <si>
    <t>Sprint 1</t>
  </si>
  <si>
    <t>1A: UI Mockups</t>
  </si>
  <si>
    <t>1A.1</t>
  </si>
  <si>
    <t>Create Mockup 1a - Login page design using UX Pilot</t>
  </si>
  <si>
    <t>1A.2</t>
  </si>
  <si>
    <t>Create Mockup 1b - Register page with health profile using UX Pilot</t>
  </si>
  <si>
    <t>1A.3</t>
  </si>
  <si>
    <t>Create Mockup 2a - Home Dashboard design using UX Pilot</t>
  </si>
  <si>
    <t>1A.4</t>
  </si>
  <si>
    <t>Create Mockup 2b - Facility Finder page design using UX Pilot</t>
  </si>
  <si>
    <t>1A.5</t>
  </si>
  <si>
    <t>Create Mockup 2c - Health Library page design using UX Pilot</t>
  </si>
  <si>
    <t>1A.6</t>
  </si>
  <si>
    <t>Create Mockup 3 - Chatbot Interface design using UX Pilot</t>
  </si>
  <si>
    <t>1A.7</t>
  </si>
  <si>
    <t>Create Mockup 4 - My Dashboard (Personal) design using UX Pilot</t>
  </si>
  <si>
    <t>1A.8</t>
  </si>
  <si>
    <t>Create Mockup 5 - System Analytics page design using UX Pilot</t>
  </si>
  <si>
    <t>1A.9</t>
  </si>
  <si>
    <t>Organize all mockup files in Misc/design/ folder</t>
  </si>
  <si>
    <t>1B: Project Structure</t>
  </si>
  <si>
    <t>1B.1</t>
  </si>
  <si>
    <t>Create folder structure (src/, pages/, components/, .streamlit/, data/)</t>
  </si>
  <si>
    <t>1B.2</t>
  </si>
  <si>
    <t>Create .streamlit/config.toml with VCH theme colors (teal #006271, blue #0078AE)</t>
  </si>
  <si>
    <t>1B.3</t>
  </si>
  <si>
    <t>Create empty placeholder files for all pages</t>
  </si>
  <si>
    <t>2026-02-02</t>
  </si>
  <si>
    <t>1C: Database Setup</t>
  </si>
  <si>
    <t>1C.1</t>
  </si>
  <si>
    <t>Create components/database.py - Initialize SQLite database module using Claude Code</t>
  </si>
  <si>
    <t>1C.2</t>
  </si>
  <si>
    <t>Create users table schema (id, name, email, password_hash, age, gender, region, health_conditions)</t>
  </si>
  <si>
    <t>1C.3</t>
  </si>
  <si>
    <t>Create assessments table schema (id, user_id, symptoms, extracted_symptoms, urgency_level, recommendation)</t>
  </si>
  <si>
    <t>45 min</t>
  </si>
  <si>
    <t>1C.4</t>
  </si>
  <si>
    <t>Implement user CRUD functions (create_user, get_user_by_email, get_user_by_id, update_user, verify_user_exists)</t>
  </si>
  <si>
    <t>1C.5</t>
  </si>
  <si>
    <t>Implement assessment CRUD functions (save_assessment, get_user_assessments, get_assessment_by_id, get_assessment_stats)</t>
  </si>
  <si>
    <t>1C.6</t>
  </si>
  <si>
    <t>Test database with dummy data; Install SQLite Viewer VS Code extension; Verify tables</t>
  </si>
  <si>
    <t>1C.7</t>
  </si>
  <si>
    <t>Git commit and push: 'Sprint 1C complete: Database setup with users and assessments tables'</t>
  </si>
  <si>
    <t>TOTAL HOURS</t>
  </si>
  <si>
    <t>PROJECT PROGRESS DASHBOARD</t>
  </si>
  <si>
    <t>SPRINT PROGRESS SUMMARY</t>
  </si>
  <si>
    <t>Phase Name</t>
  </si>
  <si>
    <t>Target Hours</t>
  </si>
  <si>
    <t>Actual Hours</t>
  </si>
  <si>
    <t>% Complete</t>
  </si>
  <si>
    <t>Environment Setup</t>
  </si>
  <si>
    <t>Basic App Structure</t>
  </si>
  <si>
    <t>Symptom Chatbot</t>
  </si>
  <si>
    <t>Features 3A-3D</t>
  </si>
  <si>
    <t>System Analytics</t>
  </si>
  <si>
    <t>Deployment &amp; Testing</t>
  </si>
  <si>
    <t>Documentation + Submission</t>
  </si>
  <si>
    <t>TOTAL</t>
  </si>
  <si>
    <t>GANTT CHART - PROJECT TIMELINE</t>
  </si>
  <si>
    <t>Phase</t>
  </si>
  <si>
    <t>Week 1</t>
  </si>
  <si>
    <t>Week 2</t>
  </si>
  <si>
    <t>Week 3</t>
  </si>
  <si>
    <t>Week 4</t>
  </si>
  <si>
    <t>Week 5</t>
  </si>
  <si>
    <t>Week 6</t>
  </si>
  <si>
    <t>Week 7</t>
  </si>
  <si>
    <t>Week 8</t>
  </si>
  <si>
    <t>Week 9</t>
  </si>
  <si>
    <t>Week 10</t>
  </si>
  <si>
    <t>Week 11</t>
  </si>
  <si>
    <t>Week 12</t>
  </si>
  <si>
    <t>Week 13</t>
  </si>
  <si>
    <t>Jan 27</t>
  </si>
  <si>
    <t>Feb 3</t>
  </si>
  <si>
    <t>Feb 10</t>
  </si>
  <si>
    <t>Feb 17</t>
  </si>
  <si>
    <t>Feb 24</t>
  </si>
  <si>
    <t>Mar 3</t>
  </si>
  <si>
    <t>Mar 10</t>
  </si>
  <si>
    <t>Mar 17</t>
  </si>
  <si>
    <t>Mar 24</t>
  </si>
  <si>
    <t>Mar 31</t>
  </si>
  <si>
    <t>Apr 7</t>
  </si>
  <si>
    <t>Apr 14</t>
  </si>
  <si>
    <t>Apr 21</t>
  </si>
  <si>
    <t>Sprint 0: Environment Setup</t>
  </si>
  <si>
    <t>Sprint 1: Basic App Structure</t>
  </si>
  <si>
    <t xml:space="preserve">   1A: UI Mockups</t>
  </si>
  <si>
    <t xml:space="preserve">   1B: Project Structure</t>
  </si>
  <si>
    <t xml:space="preserve">   1C: Database Setup</t>
  </si>
  <si>
    <t xml:space="preserve">   1D: Authentication Feature</t>
  </si>
  <si>
    <t xml:space="preserve">   1E: Basic Navigation</t>
  </si>
  <si>
    <t>Sprint 2: Symptom Chatbot</t>
  </si>
  <si>
    <t xml:space="preserve">   2A: Open AI Integration</t>
  </si>
  <si>
    <t xml:space="preserve">   2B: Safety Layer - CTAS Rules</t>
  </si>
  <si>
    <t xml:space="preserve">   2C: ML Model Training</t>
  </si>
  <si>
    <t xml:space="preserve">   2D: Chatbot UI + Integration</t>
  </si>
  <si>
    <t>Sprint 3: Features 3A-3D</t>
  </si>
  <si>
    <t xml:space="preserve">   3A: Home Dashboard</t>
  </si>
  <si>
    <t xml:space="preserve">   3B: My Dashboard - Personal Analytics</t>
  </si>
  <si>
    <t xml:space="preserve">   3C: Facility Finder</t>
  </si>
  <si>
    <t xml:space="preserve">   3D: Health Education Library</t>
  </si>
  <si>
    <t>Sprint 4: System Analytics</t>
  </si>
  <si>
    <t xml:space="preserve">   4A: System Analytics Data</t>
  </si>
  <si>
    <t>◆</t>
  </si>
  <si>
    <t xml:space="preserve">   4B: System Analytics Dashboard</t>
  </si>
  <si>
    <t>Sprint 5: Deployment &amp; Testing</t>
  </si>
  <si>
    <t xml:space="preserve">   5A: Deployment</t>
  </si>
  <si>
    <t xml:space="preserve">   5B: Testing</t>
  </si>
  <si>
    <t>Sprint 6: Documentation</t>
  </si>
  <si>
    <t>HOURS BY CATEGORY</t>
  </si>
  <si>
    <t>1D: Authentication Feature</t>
  </si>
  <si>
    <t>1E: Basic Navigation</t>
  </si>
  <si>
    <t>2A: Open AI Integration</t>
  </si>
  <si>
    <t>2B: Safety Layer - CTAS Rules</t>
  </si>
  <si>
    <t>2C: ML Model Training</t>
  </si>
  <si>
    <t>2D: Chatbot UI + Integration</t>
  </si>
  <si>
    <t>3A: Home Dashboard</t>
  </si>
  <si>
    <t>3B: My Dashboard - Personal Analytics</t>
  </si>
  <si>
    <t>3C: Facility Finder</t>
  </si>
  <si>
    <t>3D: Health Education Library</t>
  </si>
  <si>
    <t>4A: System Analytics Data</t>
  </si>
  <si>
    <t>4B: System Analytics Dashboard</t>
  </si>
  <si>
    <t>5A: Deployment</t>
  </si>
  <si>
    <t>5B: Testing</t>
  </si>
  <si>
    <t>Proof of Concept</t>
  </si>
  <si>
    <t>Category Reference</t>
  </si>
  <si>
    <t>Description</t>
  </si>
  <si>
    <t>Python, VS Code, GitHub, OpenAI API, Streamlit Cloud setup</t>
  </si>
  <si>
    <t>Create UI mockups for all pages using UX Pilot</t>
  </si>
  <si>
    <t>Create folder structure, config.toml, placeholder files</t>
  </si>
  <si>
    <t>SQLite database, users/assessments tables, CRUD functions</t>
  </si>
  <si>
    <t>Login, register, logout, session management with bcrypt</t>
  </si>
  <si>
    <t>Multi-page navigation, sidebar, page routing</t>
  </si>
  <si>
    <t>OpenAI API setup, symptom extraction prompts</t>
  </si>
  <si>
    <t>Rule-based critical symptom detection (CTAS guidelines)</t>
  </si>
  <si>
    <t>Kaggle data, Random Forest training, model.pkl</t>
  </si>
  <si>
    <t>Chat interface, session state, urgency display, integration</t>
  </si>
  <si>
    <t>Home page with welcome message, quick stats, navigation cards</t>
  </si>
  <si>
    <t xml:space="preserve">3B: My Dashboard - Personal Analytics </t>
  </si>
  <si>
    <t>BC facilities data, Folium map, filters by region/type</t>
  </si>
  <si>
    <t>Health topics JSON, search, topic cards, resources</t>
  </si>
  <si>
    <t>Generate 5000 synthetic records, seasonal patterns</t>
  </si>
  <si>
    <t>K-Means clustering, anomaly detection, forecasting</t>
  </si>
  <si>
    <t>Streamlit Cloud deployment, secrets config, live testing</t>
  </si>
  <si>
    <t>Test scenarios, user feedback, edge cases, disclaimers</t>
  </si>
  <si>
    <t>Final report, demo video, presentation, submission</t>
  </si>
  <si>
    <t>-</t>
  </si>
  <si>
    <t>Udemy courses, tutorials, documentation, self-study</t>
  </si>
  <si>
    <t>Code experiments, feature demos, testing feasibility</t>
  </si>
  <si>
    <t>2026-02-04</t>
  </si>
  <si>
    <t>1D.1</t>
  </si>
  <si>
    <t>Create components/auth.py (hash_password, verify_password functions using bcrypt)</t>
  </si>
  <si>
    <t>1D.2</t>
  </si>
  <si>
    <t>Create app.py with Login tab UI (email, password, remember me checkbox)</t>
  </si>
  <si>
    <t>1D.3</t>
  </si>
  <si>
    <t>Create app.py with Register tab UI (name, email, password, health profile, 10 health conditions)</t>
  </si>
  <si>
    <t>1D.4</t>
  </si>
  <si>
    <t>Implement login logic (verify credentials, set session_state)</t>
  </si>
  <si>
    <t>2026-02-05</t>
  </si>
  <si>
    <t>1D.5</t>
  </si>
  <si>
    <t>Implement register logic (validate, hash password, save to DB)</t>
  </si>
  <si>
    <t>1D.6</t>
  </si>
  <si>
    <t>Add logout functionality (clear session and redirect to login)</t>
  </si>
  <si>
    <t>1D.7</t>
  </si>
  <si>
    <t>Protect pages (redirect to login if not authenticated)</t>
  </si>
  <si>
    <t>1D.8</t>
  </si>
  <si>
    <t>Test login/register/logout flow (9 test cases: registration, duplicate email, password/email validation, wrong password, logout, page protection, database verification); Clean up orphaned test data</t>
  </si>
  <si>
    <t>1E.1</t>
  </si>
  <si>
    <t>Create pages/1_🏠_Home.py with welcome message</t>
  </si>
  <si>
    <t>1E.2</t>
  </si>
  <si>
    <t>Create pages/2_💬_Symptom_Assessment.py (placeholder)</t>
  </si>
  <si>
    <t>1E.3</t>
  </si>
  <si>
    <t>Create pages/3_📊_My_Dashboard.py (placeholder)</t>
  </si>
  <si>
    <t>1E.4</t>
  </si>
  <si>
    <t>Create pages/4_🗺️_Facility_Finder.py (placeholder)</t>
  </si>
  <si>
    <t>1E.5</t>
  </si>
  <si>
    <t>Create pages/5_📚_Health_Library.py (placeholder)</t>
  </si>
  <si>
    <t>1E.6</t>
  </si>
  <si>
    <t>Create pages/6_📈_System_Analytics.py (placeholder)</t>
  </si>
  <si>
    <t>1E.7</t>
  </si>
  <si>
    <t>Test navigation between all pages; Verify sidebar navigation works; Git commit and push</t>
  </si>
  <si>
    <t>Udemy Streamlit ML Deployment - Lessons 12-13: Capstone (Canada population trend dashboard with forms, tabs, metrics, matplotlib)</t>
  </si>
  <si>
    <t>2026-02-06</t>
  </si>
  <si>
    <t>Sprint 2</t>
  </si>
  <si>
    <t>2026-02-07</t>
  </si>
  <si>
    <t>2026-02-08</t>
  </si>
  <si>
    <t>2026-02-09</t>
  </si>
  <si>
    <t>2A.1</t>
  </si>
  <si>
    <t>Create .streamlit/secrets.toml with OpenAI API key; secure storage configuration</t>
  </si>
  <si>
    <t>2A.2</t>
  </si>
  <si>
    <t>Add secrets.toml to .gitignore to prevent accidental commit of API keys</t>
  </si>
  <si>
    <t>2A.3</t>
  </si>
  <si>
    <t>Create components/openai_utils.py; set up OpenAI API wrapper functions with error handling</t>
  </si>
  <si>
    <t>2A.4</t>
  </si>
  <si>
    <t>Create extract_symptoms() function using GPT-4o-mini; NLP to extract structured symptoms from natural language user input</t>
  </si>
  <si>
    <t>2A.5</t>
  </si>
  <si>
    <t>Test OpenAI API call with sample symptoms; verified extraction accuracy with test_openai.py</t>
  </si>
  <si>
    <t>2B.1</t>
  </si>
  <si>
    <t>Create components/rules.py; rule-based safety check module for emergency detection</t>
  </si>
  <si>
    <t>2B.2</t>
  </si>
  <si>
    <t>Define CRITICAL_SYMPTOMS list; 10-15 emergency patterns based on CTAS Level 1-2 guidelines (chest pain, difficulty breathing, etc.)</t>
  </si>
  <si>
    <t>2B.3</t>
  </si>
  <si>
    <t>Create check_critical_symptoms() function; returns True with 911 warning if emergency keywords detected</t>
  </si>
  <si>
    <t>2B.4</t>
  </si>
  <si>
    <t>Test with emergency scenarios using test_rules.py; verified all critical symptom patterns caught correctly</t>
  </si>
  <si>
    <t>2C.0</t>
  </si>
  <si>
    <t>Research prior ML algorithms used in healthcare triage/decision-making; documented findings in ML_Algorithm_Research.pdf</t>
  </si>
  <si>
    <t>2C.1</t>
  </si>
  <si>
    <t>Find and download Kaggle symptom-disease dataset (4920 rows, 41 diseases, 131 symptoms)</t>
  </si>
  <si>
    <t>2C.2</t>
  </si>
  <si>
    <t>Create notebooks/01_data_exploration.ipynb; explore dataset structure, class balance, symptom frequency, data quality issues</t>
  </si>
  <si>
    <t>2C.3</t>
  </si>
  <si>
    <t>Create data/urgency_mapping.csv; map 41 diseases to 4 CTAS-aligned urgency levels (Emergency/Urgent/Routine/Self-Care)</t>
  </si>
  <si>
    <t>2C.4</t>
  </si>
  <si>
    <t>Create components/train_model.py; 7-step pipeline (load, preprocess, one-hot encode, split, train, evaluate, save)</t>
  </si>
  <si>
    <t>2C.5</t>
  </si>
  <si>
    <t>Create notebooks/02_train_model.ipynb; document training process with visualizations (confusion matrix, feature importance, F1 scores)</t>
  </si>
  <si>
    <t>2C.6</t>
  </si>
  <si>
    <t>Train Random Forest classifier (100 trees, balanced weights, severity-weighted features); achieved 100% accuracy on test set</t>
  </si>
  <si>
    <t>2C.7</t>
  </si>
  <si>
    <t>Evaluate model accuracy; classification report, confusion matrix heatmap; all 41 diseases F1=1.00; documented 70% confidence threshold</t>
  </si>
  <si>
    <t>2C.8</t>
  </si>
  <si>
    <t>Save model.pkl (6.82 MB) and model_metadata.json to Implementation/models/; verified with test_predict.py</t>
  </si>
  <si>
    <t>2026-02-10</t>
  </si>
  <si>
    <t>2026-02-11</t>
  </si>
  <si>
    <t>2026-02-12</t>
  </si>
  <si>
    <t>2D.1</t>
  </si>
  <si>
    <t>Create components/chatbot.py using Claude Code; 3-layer assessment pipeline (OpenAI extraction → CTAS safety rules → ML classification) with fallback logic</t>
  </si>
  <si>
    <t>2D.2</t>
  </si>
  <si>
    <t>Build chat UI using st.chat_message and st.chat_input; assistant/user message styling; chat container layout matching mockup design</t>
  </si>
  <si>
    <t>2D.3</t>
  </si>
  <si>
    <t>Add important disclaimer warning banner at top of Symptom Assessment page (not a substitute for medical advice, call 911 for emergencies)</t>
  </si>
  <si>
    <t>2D.4</t>
  </si>
  <si>
    <t>Implement chat history persistence using st.session_state; messages survive page interactions; chat replay on rerun; Clear Chat button in sidebar</t>
  </si>
  <si>
    <t>2D.5</t>
  </si>
  <si>
    <t>Integrate full 3-layer assessment pipeline: OpenAI GPT-4o-mini extracts symptoms → CTAS safety rules check for emergencies → ML Random Forest classifies disease with urgency mapping; 70% confidence threshold triggers OpenAI fallback</t>
  </si>
  <si>
    <t>2D.6</t>
  </si>
  <si>
    <t>2D.7</t>
  </si>
  <si>
    <t>Add recommendation explanation text for each urgency level; Emergency shows 911/crisis line, Urgent shows 24hr care advice, Routine shows doctor visit guidance, Self-Care shows home remedies</t>
  </si>
  <si>
    <t>2D.8</t>
  </si>
  <si>
    <t>Add BC Health Resources section: HealthLink BC (Call 8-1-1, free 24/7 health advice) and Facility Finder page reference; displayed after every assessment result</t>
  </si>
  <si>
    <t>2D.9</t>
  </si>
  <si>
    <t>Add Save Assessment button that stores assessment to SQLite database (user_id, symptoms, extracted_symptoms, predicted_condition, confidence, urgency_level, recommendation); verified save with SQLite Viewer</t>
  </si>
  <si>
    <t>2D.11a</t>
  </si>
  <si>
    <t>2D.11b</t>
  </si>
  <si>
    <t>2D.11c</t>
  </si>
  <si>
    <t>Test 10: 'runny nose and sneezing' → discovered bug: OpenAI fallback always defaulted urgency to Routine regardless of actual assessment; identified root cause in chatbot.py fallback logic</t>
  </si>
  <si>
    <t>BugFix</t>
  </si>
  <si>
    <t>Fix critical bug: OpenAI fallback urgency classification now asks OpenAI to classify urgency (Emergency/Urgent/Routine/Self-Care) and parses response instead of hardcoding 'Routine'; verified fix with re-tests</t>
  </si>
  <si>
    <t>2D.11d</t>
  </si>
  <si>
    <t>2D.11e</t>
  </si>
  <si>
    <t>UI-1</t>
  </si>
  <si>
    <t>Add personalized greeting: chatbot welcomes user by name from session state ('Hello [name]! I'm here to help assess your symptoms...'); no Save button on greeting message</t>
  </si>
  <si>
    <t>UI-2</t>
  </si>
  <si>
    <t>2D.11f</t>
  </si>
  <si>
    <t>GIT-1</t>
  </si>
  <si>
    <t>Git commit: 'Add personalized greeting, urgency level guide (2x2 grid), and fix OpenAI fallback urgency classification'</t>
  </si>
  <si>
    <t>UI-3</t>
  </si>
  <si>
    <t>Design app logo using Google Gemini AI: BC mountain peaks + maple leaf + chat bubble + health cross; selected from 4 generated variations; created white version for teal banner and amber/gold version as primary</t>
  </si>
  <si>
    <t>UI-4</t>
  </si>
  <si>
    <t>Logo processing: crop Gemini watermark using Paint, resize to 200px for web optimization, create amber/gold (#F2A900) background variant for teal banner contrast</t>
  </si>
  <si>
    <t>UI-5</t>
  </si>
  <si>
    <t>Create full-width teal (#006271) banner header across all pages using components/header.py; logo + 'BC Health Platform' on left, 'User: [name]' + Logout button on right; base64 logo embedding; position:fixed with z-index:999</t>
  </si>
  <si>
    <t>UI-6</t>
  </si>
  <si>
    <t>Fix CSS double-brace bug in header.py: _BANNER_CSS extracted from f-string had {{ }} escaping that broke all CSS rules; replaced with single braces; banner and sidebar offsets now render correctly</t>
  </si>
  <si>
    <t>UI-7</t>
  </si>
  <si>
    <t>Sidebar styling overhaul: bold darker text (#1a1a1a, font-weight:600), active tab teal (#006271) background with white text, monochrome icons via CSS grayscale filter, hide 'app' label; applied via inject_global_css()</t>
  </si>
  <si>
    <t>UI-8</t>
  </si>
  <si>
    <t>Hide sidebar on login page (CSS display:none + initial_sidebar_state=collapsed); fix logout redirect using st.switch_page('app.py') instead of st.rerun(); auto-redirect unauthenticated users to login</t>
  </si>
  <si>
    <t>UI-9</t>
  </si>
  <si>
    <t>Fix sidebar not visible after login: CSS specificity issue where hide_sidebar CSS overrode show rules; added explicit display:block !important with visibility/width overrides in authenticated banner CSS</t>
  </si>
  <si>
    <t>UI-10</t>
  </si>
  <si>
    <t>Replace default icons with custom logo on login page and authenticated landing page using base64 embedding; rename Symptom Assessment page title to 'Symptom Assessment Chatbot'</t>
  </si>
  <si>
    <t>2D.12</t>
  </si>
  <si>
    <t>Git commits: 'Sprint 2D complete - Chatbot MVP with 3-layer assessment, banner, sidebar styling'; 'UI polish - custom logo, rename page, sidebar and banner fixes'; pushed to GitHub</t>
  </si>
  <si>
    <t>Create color-coded urgency badges using HTML/CSS: Emergency (red), Urgent (orange), Routine (yellow), Self-Care (green); styled inline badges with rounded corners</t>
  </si>
  <si>
    <t>Test 7-8: Mental health crisis → Emergency via CTAS safety rules (CTAS Level 2, matched 'suicidal'); 'my stomach hurts' → OpenAI fallback → Routine; both saved to database</t>
  </si>
  <si>
    <t>Test 9a-9b: 'What's the weather today?' → correctly rejected as non-symptom input; 'stomach hurts + fever' follow-up → OpenAI fallback → Routine with escalation warnings</t>
  </si>
  <si>
    <t>Test 11: 'high fever, chills, sweating, vomiting, nausea, headache, muscle pain' → ML Model predicted Malaria (100% confidence) → Urgent; 7 symptoms matched ML feature names correctly</t>
  </si>
  <si>
    <t>Tests 12a-c: Acne (skin rash, pimples, blackheads → 100% ML confidence → Self-Care); Allergy (itching, sneezing, shivering → 78% → Self-Care); Fungal infection (itching, rash, patches → 100% → Self-Care)</t>
  </si>
  <si>
    <t>Add Urgency Level Guide reference card below BC Health Resources; 2x2 grid layout matching mockup (Emergency—Call 911 | Urgent—ED/Urgent Care | Routine—Walk-in/Doctor | Self-Care—Home care); displayed on all result types</t>
  </si>
  <si>
    <t>Test 13: 'severe chest pain can't breathe' → Emergency via CTAS rules; verified Urgency Level Guide now appears on Emergency results too; all 4 urgency levels confirmed working</t>
  </si>
  <si>
    <t>4 hr</t>
  </si>
  <si>
    <t>Mid-term Report Writing</t>
  </si>
  <si>
    <t>Mid-term Video Demonstration</t>
  </si>
  <si>
    <t xml:space="preserve">   3E: Multi-Turn Chatbot Enhancement</t>
  </si>
  <si>
    <t>2026-02-25</t>
  </si>
  <si>
    <t>Sprint 3</t>
  </si>
  <si>
    <t>2026-02-26</t>
  </si>
  <si>
    <t>2026-02-27</t>
  </si>
  <si>
    <t>2026-02-28</t>
  </si>
  <si>
    <t>2026-03-01</t>
  </si>
  <si>
    <t>2026-03-02</t>
  </si>
  <si>
    <t>Post-cruise return: Reviewed Sprint 3 roadmap tracker, organized project files and mockups into consolidated project workspace</t>
  </si>
  <si>
    <t>Studied existing 1_Home.py placeholder code, compared against UI mockup, identified all sections needing rebuild</t>
  </si>
  <si>
    <t>Rebuilt Home page Welcome Header section with personalized greeting using session_state username, added health overview subtitle</t>
  </si>
  <si>
    <t>Created Quick Actions row (3 styled cards with icons: Check Symptoms, Find Facility, Health Info) with st.page_link() navigation</t>
  </si>
  <si>
    <t>Created My Health Summary card querying SQLite database via get_assessment_stats() - displays total assessments, last check relative time, most common symptom with percentage</t>
  </si>
  <si>
    <t>Created Recent Activity list showing 3 most recent assessments from database with color-coded urgency dots (green/yellow/red)</t>
  </si>
  <si>
    <t>Added BC Health Tip of the Day banner with rotating BC-specific health tips and Find Nearest Pharmacy navigation button</t>
  </si>
  <si>
    <t>Added most_common_symptom_count to get_assessment_stats() in database.py for percentage calculation (backward-compatible change)</t>
  </si>
  <si>
    <t>Verified all dashboard data against SQLite database using Python queries - confirmed 33 assessments, Chest pain 33%, recent activity entries all match live data</t>
  </si>
  <si>
    <t>Git commit - 'Sprint 3A: Rebuild Home Dashboard to match UI mockup'</t>
  </si>
  <si>
    <t>Studied My Personal Health Dashboard mockup (2 pages), identified 5 sections: stat cards, trend chart, symptoms breakdown, assessment history table, date filter</t>
  </si>
  <si>
    <t>Built dashboard layout with 4 stat summary cards (Total Checks, This Month, Most Common, Avg Urgency) with colored icon boxes and status indicators</t>
  </si>
  <si>
    <t>Created Plotly filled area chart for Symptom Trends Over Time - grouped assessments by month, teal color scheme, responsive layout with export_plotly_chart()</t>
  </si>
  <si>
    <t>Created Plotly donut pie chart for Symptoms Breakdown - shows distribution of primary symptoms with percentages, rare symptoms grouped as Other</t>
  </si>
  <si>
    <t>Created Assessment History HTML table with styled colored badges (green Home Care, yellow Walk-in Clinic, orange Urgent Care, red Emergency)</t>
  </si>
  <si>
    <t>Implemented date filter dropdown (All Time, Last 6 Months, Last 3 Months, Last Year) that filters all dashboard sections simultaneously</t>
  </si>
  <si>
    <t>Fixed UI issues - Plotly X-axis tick intervals (dtick=5), donut chart label clipping (moved labels inside slices with legend below), button styling for Export Report and New Assessment</t>
  </si>
  <si>
    <t>Automated data verification against SQLite - confirmed all 4 stat cards, trend chart, donut chart percentages, and history table entries match real database values</t>
  </si>
  <si>
    <t>Git commit - 'Sprint 3B: Rebuild My Dashboard with Plotly charts, date filter, and live data'</t>
  </si>
  <si>
    <t>Added auto-redirect in app.py to route users to Home Dashboard after login instead of showing old placeholder page; Git commit</t>
  </si>
  <si>
    <t>Researched agentic AI frameworks in healthcare triage (reviewed Thamma 2025, Wang et al. 2024); Evaluated feasibility for project integration</t>
  </si>
  <si>
    <t>Updated work log, prepared Progress Report 2, updated task tracker with Sprint 3A and 3B completion status</t>
  </si>
  <si>
    <t>3A</t>
  </si>
  <si>
    <t>3B</t>
  </si>
  <si>
    <t>3E: Multi-Turn Chatbot Enhancement</t>
  </si>
  <si>
    <t>Multi-turn dialog state, slot-filling, session management, edge case handling</t>
  </si>
  <si>
    <t>NLP Research: Reviewed CSIS 3400 NLP course materials (chatbot theory, dialog system pipeline); identified key concepts applicable to multi-turn chatbot upgrade</t>
  </si>
  <si>
    <t>NLP Research: Studied chatbot taxonomy classification (FAQ bots vs. flow-based bots vs. AI bots); mapped existing single-turn chatbot against academic taxonomy to identify upgrade path</t>
  </si>
  <si>
    <t>NLP Research: Studied Dialog System Pipeline (NLU → Dialog Manager → NLG); identified how CTAS rules map to dialog management layer; documented slot-filling theory for symptom collection</t>
  </si>
  <si>
    <t>NLP Research: Researched Intent and Slot concepts in task-oriented dialog systems; mapped to healthcare context: Intent = assess symptoms, Slots = duration/severity/body location/additional info</t>
  </si>
  <si>
    <t>NLP Research: Studied stateful vs. stateless dialog systems and session_state management patterns; researched temperature parameter tuning (0.3 deterministic vs. 0.5 conversational) for GPT calls</t>
  </si>
  <si>
    <t>NLP Research: Documented all NLP concepts with academic framing; organized findings into technical notes mapping theoretical concepts to planned Sprint 3E implementation tasks</t>
  </si>
  <si>
    <t>NLP Research: Final review and consolidation of research notes; confirmed 7 sub-tasks for Sprint 3E aligned with dialog system theory</t>
  </si>
  <si>
    <t>Sprint 3B Enhancements: Added teal filled section headers to all dashboard sections (Symptom Trends, Symptoms Breakdown, Assessment History) matching platform visual standard</t>
  </si>
  <si>
    <t>Sprint 3B Enhancements: Redesigned KPI cards with teal top border strips and inline icons (Total Checks, This Month, Most Common, Avg Urgency); darkened subtitle text for readability</t>
  </si>
  <si>
    <t>Sprint 3B Enhancements: Added urgency filter slicer (All/Emergency/Urgent/Routine/Self-Care) applied additively with existing date filter; inserted 70 synthetic test records for realistic dashboard data</t>
  </si>
  <si>
    <t>Sprint 3B Enhancements: Added logo (assets/logo.png, 55px) beside page title; fixed navigation bug (st.query_params.clear() interfering with st.switch_page()); added View All toggle for assessment history</t>
  </si>
  <si>
    <t>Sprint 3B Enhancements: Fixed trend chart date grouping bug ('%B' to '%b %Y'); added linear trendline using numpy.polyfit as orange dashed trace; cleaned up chart legend</t>
  </si>
  <si>
    <t>1 hr 30 min</t>
  </si>
  <si>
    <t>3E</t>
  </si>
  <si>
    <t>Sprint 3E: Built multi-turn chatbot backend — initialize_dialog_state(), get_follow_up_question() slot-filling, process_multiturn_message() turn orchestrator in chatbot.py; MULTITURN_EXTRACTION_PROMPT and extract_symptoms_multiturn() in openai_utils.py</t>
  </si>
  <si>
    <t>Sprint 3E: Built multi-turn UI in 2_Symptom_Assessment.py — chat history display, input handler, sidebar progress panel (collected symptoms, remaining turns), Start New Assessment reset button</t>
  </si>
  <si>
    <t>Sprint 3E: Ran all 6 test scenarios; identified edge case bug where vague health complaints triggered immediate redirect on turn 1; redesigned logic to apply gentle detail prompt on turn 1, redirect only after multiple failed turns</t>
  </si>
  <si>
    <t>Sprint 3E: Fix edge case — gentle prompt for vague health complaints on turn 1 instead of immediate redirect; confirmed fix with retest; git commit</t>
  </si>
  <si>
    <t>Sprint 3E: Git commits for backend, UI, and edge case fixes with descriptive messages</t>
  </si>
  <si>
    <t>3C</t>
  </si>
  <si>
    <t>Sprint 3C: Created Implementation/data/facilities.csv with 24 facilities across 5 BC regions (later rebuilt to 45 facilities with focused Lower Mainland coverage)</t>
  </si>
  <si>
    <t>Sprint 3C: Built 4_Facility_Finder.py — Emergency Contacts section, Search filter dropdowns, interactive Folium map with colored markers, facility cards, Health Tips, Understanding Facility Types sections</t>
  </si>
  <si>
    <t>Sprint 3C: Refined facility CSV to 45 records, removed Pharmacy type, separated Urgent Care (orange) from Walk-In Clinic (green) on map, verified all filter and map interactions</t>
  </si>
  <si>
    <t>Sprint 3C: Git commits; updated work log and task tracker with Sprint 3B, 3E, and 3C completion status</t>
  </si>
  <si>
    <t>Prepared Progress Report 3; updated commit history, work log entries, and Gantt chart for PR3 reporting period (Mar 3–9)</t>
  </si>
  <si>
    <t>Sprint 3D Research: Reviewed HealthLinkBC content categories and identified 8 topic areas for the Health Library (Pain &amp; Injury, Cold &amp; Flu, Medications, Prevention &amp; Wellness, Mental Health, Heart Health, Child Health, Emergency Care)</t>
  </si>
  <si>
    <t>Sprint 3D Research: Designed JSON schema for health_articles.json — identified required fields: id, title, category, summary, content, tags, read_time, source_url, banner_color; mapped 18 article topics across 8 categories</t>
  </si>
  <si>
    <t>1 hr 15 min</t>
  </si>
  <si>
    <t>Sprint 3D: Drafted prompt for Claude Code to generate health_articles.json with 18 BC-specific health articles and Health Library page with full page structure matching mockup; reviewed and committed first draft</t>
  </si>
  <si>
    <t>Sprint 3D: Tested initial Health Library page — identified and documented UI bugs: duplicate category grid rendering, search section layout issues, incorrect section header styling; planned targeted fix approach</t>
  </si>
  <si>
    <t>Sprint 3D Fix: Corrected Health Library UI — removed duplicate st.button() row above category icon cards, replaced teal section_header() on Browse by Category with plain st.markdown(), redesigned search card layout</t>
  </si>
  <si>
    <t>Sprint 3D Fix: Resolved ghost input box appearing between page subtitle and search card — root cause identified as orphaned HTML div wrappers auto-closing before Streamlit widgets rendered; replaced with CSS :has() marker injection pattern</t>
  </si>
  <si>
    <t>Sprint 3D: Implemented search logic — keyword filtering against article title, category, tags, and summary fields using session_state (hl_search_query); results grid with 3-column card layout, Clear Search button, no-results fallback message</t>
  </si>
  <si>
    <t>Sprint 3D: Wired Browse by Category Select buttons to filter articles — hl_selected_category session state, 3-column filtered results grid, mutual exclusivity with search filter; tested all 8 categories</t>
  </si>
  <si>
    <t>Sprint 3D: Verified Popular Topics section — 4 coloured banner cards (blue/green/purple/red), expandable full article content, Visit Source external links; confirmed all expanders and links functional</t>
  </si>
  <si>
    <t>Sprint 3D: Implemented UX improvement — wrapped All Articles section in collapsed st.expander() to reduce cognitive overload from 18 article cards; applied teal CSS :has() styling to match platform section header design system</t>
  </si>
  <si>
    <t>Sprint 3D: Standardized font weight across all teal section headers (700 weight, 16px, 0.01em letter-spacing); confirmed Official BC Health Resources section (HealthLinkBC, BCCDC, BC Health Services cards) rendering correctly</t>
  </si>
  <si>
    <t>Sprint 3D: Final review and testing of complete Health Library — search, category filter, popular topics, all articles expander, BC health resources, footer disclaimer; committed all Sprint 3D work to GitHub</t>
  </si>
  <si>
    <t>Sprint 4</t>
  </si>
  <si>
    <t>Sprint 4A Research: Designed synthetic data model for System Analytics — defined 3 patient engagement tiers (Healthy/Occasional, Moderate Users, High-Frequency/Chronic) with realistic assessment frequency and urgency distributions; drafted data generation requirements</t>
  </si>
  <si>
    <t>Sprint 4A: Developed generate_synthetic_data.py — 200 patients across 3 tiers, 5,000 assessment records with tier-weighted urgency distributions, flu season patterns (Nov–Feb spike), chronic symptom elevation for Tier 3; post-generation Emergency cap at ≤5%</t>
  </si>
  <si>
    <t>Sprint 4A: Validated synthetic_assessments.csv output — confirmed 5,000 records, Emergency at exactly 5.0% (250 records), age distributions match tier specifications, top symptoms reflect chronic condition elevation for Tier 3 patients; committed to GitHub</t>
  </si>
  <si>
    <t>Sprint 4B: Built System Analytics Dashboard page — page header with Export Report placeholder and date range filter dropdown (All Time default), CSV data loading with os.path relative resolution, @st.cache_data, 4 KPI cards with teal headers (Total Users, Active This Week, Total Assessments, Avg Assessment Time)</t>
  </si>
  <si>
    <t>1 hr 45 min</t>
  </si>
  <si>
    <t>Sprint 4B: Added 4 Plotly charts — horizontal bar chart (top 10 symptoms with clinical severity colour coding: red=Serious/Chronic, amber=Infectious, blue=General), Urgency Distribution donut, Usage by BC Health Authority donut (5 health authority regions mapped from cities), Assessment Trends line chart with numpy.polyfit orange trendline</t>
  </si>
  <si>
    <t>Sprint 4B: Implemented K-Means unsupervised clustering — per-patient aggregation (age, assessment count, urgent ratio, chronic ratio), StandardScaler normalization, KMeans(n_clusters=3), automatic cluster naming by combined severity score; scatter plot visualization with bubble size = age; 3 cluster summary cards</t>
  </si>
  <si>
    <t>Sprint 4B: Final verification and testing — date range filter wiring confirmed across all KPI cards and charts, K-Means cluster separation validated (Chronic/Elderly avg age 73, High-Risk avg age 47, Healthy/Occasional avg age 29); committed all Sprint 4A and 4B work to GitHub</t>
  </si>
  <si>
    <t>3D</t>
  </si>
  <si>
    <t>4A</t>
  </si>
  <si>
    <t>4B</t>
  </si>
  <si>
    <t>Prepared Progress Report 4; updated commit history, work log entries, and timeline for PR4 reporting period (Mar 10–16); added screenshots and submitted to Blackboard</t>
  </si>
  <si>
    <t>Sprint 5</t>
  </si>
  <si>
    <t>5A: Automated Testing Suite</t>
  </si>
  <si>
    <t>5A.1</t>
  </si>
  <si>
    <t>Sprint 5A scope planning: Decided to drop Community Pulse (web scraping) feature and focus on automated testing suite. Drafted scope decision rationale and sent email to Prof. Priya explaining the scope change and requesting absence from class for job interview</t>
  </si>
  <si>
    <t>Sprint 5A.1: Designed tests/ folder architecture — unit/, integration/, ui/, property/ sub-packages. Created all init.py files, conftest.py with test_db (in-memory SQLite fixture with yield teardown) and test_user fixtures, TEST_REGISTER.md with table header</t>
  </si>
  <si>
    <t>Sprint 5A.1 cleanup: Identified and removed old ad-hoc test scripts (test_openai.py, test_predict.py, test_rules.py) from Implementation/tests/ — superseded by new proper pytest suite at root tests/ folder</t>
  </si>
  <si>
    <t>5A.2</t>
  </si>
  <si>
    <t>Sprint 5A.2: Read auth.py source code to understand exact function signatures (hash_password, verify_password, validate_password_strength, validate_email, require_authentication). Designed 10 test cases across 4 logical groups: Registration, Login, Security, Session</t>
  </si>
  <si>
    <t>Sprint 5A.2: Wrote test_auth.py — 10 unit tests for authentication module. Used conftest.py test_db fixture for all database operations, unittest.mock for Streamlit session_state and st.switch_page. Verified all 10 tests pass: 10/10 passed in 4.38s</t>
  </si>
  <si>
    <t>5A.3</t>
  </si>
  <si>
    <t>Sprint 5A.3 analysis: Read rules.py to confirm check_critical_symptoms() signature, return dict structure, 14-rule count, match types (any vs all), case-insensitive matching behaviour before writing tests</t>
  </si>
  <si>
    <t>Sprint 5A.3: Wrote test_ctas_rules.py — 23 unit tests across 3 groups: 14 parametrized positive detection tests (one per CTAS rule), 5 negative pass-through tests, 4 edge case tests (mixed case, None input, large lists, single keyword). All 23 passing</t>
  </si>
  <si>
    <t>5A.4</t>
  </si>
  <si>
    <t>Sprint 5A.4 analysis: Read database.py (690 lines) — confirmed all CRUD function signatures, return types, table schema, and connection pattern (get_connection() called internally — requires unittest.mock.patch to redirect to test DB)</t>
  </si>
  <si>
    <t>Sprint 5A.4: Wrote test_database.py — 12 unit tests across 3 groups: 5 User CRUD tests, 5 Assessment CRUD tests, 2 Data Integrity tests. Patched get_connection() with test DB factory. Verified user isolation (TC-DB-11) and correct FK constraint handling. All 12 passing</t>
  </si>
  <si>
    <t>5A.5</t>
  </si>
  <si>
    <t>Sprint 5A.5 analysis: Confirmed ML layer lives in chatbot.py (not ml_model.py). Read model.pkl and model_metadata.json directly — identified feature vector building logic, 70% confidence threshold location, predict_proba() call pattern</t>
  </si>
  <si>
    <t>Sprint 5A.5: Wrote test_ml_model.py — 12 unit tests across 4 groups: model loading (2), confidence threshold (3), input handling (4), output validation (3). Loaded real model.pkl directly without Streamlit. UTI symptoms achieved 100% confidence. All 12 passing</t>
  </si>
  <si>
    <t>5A.6</t>
  </si>
  <si>
    <t>Sprint 5A.6 analysis: Read chatbot.py — confirmed run_assessment() layer sequence (OpenAI → CTAS → ML), all 4 return statuses and their dict keys, patch target (components.chatbot.extract_symptoms — patch where used not where defined)</t>
  </si>
  <si>
    <t>Sprint 5A.6: Wrote test_pipeline.py — 6 integration tests. Mocked both extract_symptoms() and get_openai_fallback_guidance(). Tested emergency circuit breaker, ML prediction path, OpenAI fallback path, safety invariants. All 6 passing in 3.74s</t>
  </si>
  <si>
    <t>5A.7</t>
  </si>
  <si>
    <t>Sprint 5A.7 analysis: Confirmed extract_symptoms() return dict key is 'symptoms' (not 'extracted_symptoms'). Confirmed all mock return structures for 6 clinical scenarios before writing tests</t>
  </si>
  <si>
    <t>Sprint 5A.7: Wrote test_chatbot_scenarios.py — 6 integration tests covering cardiac emergency, stroke emergency, UTI ML prediction, vague symptom fallback, emergency override safety, minimal input edge case. All 6 passing on first run</t>
  </si>
  <si>
    <t>5A.8</t>
  </si>
  <si>
    <t>Sprint 5A.8 analysis: Read 3_My_Dashboard.py — confirmed session_state keys, data source (get_user_assessments via components.database), 4 stat cards as custom HTML st.markdown (not st.metric), 2 selectboxes, CWD dependency for assets/logo.png</t>
  </si>
  <si>
    <t>Sprint 5A.8: Wrote test_dashboard_apptest.py — 8 headless UI tests using Streamlit AppTest. Implemented _run_dashboard() helper with os.chdir(SRC_DIR) pattern. Verified stat card headers, selectbox options (All Time, Last 3 Months, All Urgency Levels), user data isolation. All 8 passing</t>
  </si>
  <si>
    <t>5A.9</t>
  </si>
  <si>
    <t>Sprint 5A.9 analysis: Read 2_Symptom_Assessment.py — confirmed session_state keys, process_multiturn_message() as primary function to mock (not run_assessment()), AppTest chat input syntax (at.chat_input[0].set_value().run()), _submit_chat() helper pattern needed</t>
  </si>
  <si>
    <t>Sprint 5A.9: Wrote test_chatbot_apptest.py — 8 headless UI tests. Implemented _run_chatbot() and _submit_chat() helpers with patch re-application on rerun. Tested warning banner, welcome message personalisation, ML response, emergency response, auth guard. All 8 passing</t>
  </si>
  <si>
    <t>5A.10</t>
  </si>
  <si>
    <t>Sprint 5A.10 analysis: Confirmed Hypothesis installed (6.151.9). Read auth.py and rules.py to verify exact validation rules — password requires letter + digit (not uppercase + lowercase separately). Corrected strategy before writing</t>
  </si>
  <si>
    <t>Sprint 5A.10: Wrote test_fuzz_hypothesis.py — 10 property-based tests using Hypothesis. 1,000 total fuzz inputs (100 per test). Covered password fuzzing (3 tests), email fuzzing (3 tests), CTAS rules fuzzing (3 tests), database fuzzing (1 test). All 10 passing</t>
  </si>
  <si>
    <t>5A.11</t>
  </si>
  <si>
    <t>Sprint 5A.11: Ran full test suite from project root — 79 tests across unit, integration, property folders all passing in 20.89s. UI tests confirmed passing individually (16 tests). Took screenshots for progress report documentation</t>
  </si>
  <si>
    <t>Git commits: All Sprint 5A tasks committed with granular messages (5A.1 through 5A.11) and pushed to GitHub main branch</t>
  </si>
  <si>
    <t>5B: CI/CD Pipeline</t>
  </si>
  <si>
    <t>5B.1</t>
  </si>
  <si>
    <t>Sprint 5B: Created .github/workflows/ci.yml — GitHub Actions CI/CD pipeline to run 79-test suite on every push to main. Fixed PAT workflow scope permission error</t>
  </si>
  <si>
    <t>5B.2</t>
  </si>
  <si>
    <t>Sprint 5B: Debugged CI failures — requirements.txt path fix, pytest command not found (python -m pytest), streamlit.testing module conflict. Excluded UI AppTests from CI with --ignore=../../tests/ui</t>
  </si>
  <si>
    <t>5B.3</t>
  </si>
  <si>
    <t>Sprint 5B: Committed model.pkl to repo (removed from .gitignore) to resolve CI model file not found errors. Final CI run: 79/79 tests passed in 13.72s</t>
  </si>
  <si>
    <t>5C: Deploy + UI Polish</t>
  </si>
  <si>
    <t>5C.1</t>
  </si>
  <si>
    <t>UI redesign: Implemented white topbar with CedarCare two-tone wordmark and cedar tree logo. Standardised page headers across all 6 pages with custom SVG icons per page</t>
  </si>
  <si>
    <t>5C.2</t>
  </si>
  <si>
    <t>UI redesign: Renamed BC Health Platform to CedarCare everywhere in code, page titles, sidebar, header component. Updated CSS for dark teal sidebar (#006271)</t>
  </si>
  <si>
    <t>5C.3</t>
  </si>
  <si>
    <t>UI redesign: Dashboard KPI fix — replaced Total checks since registration and Registrations this month with Most Recent Urgency Level and Days Since Last Assessment. Added consistent footer across all 6 pages</t>
  </si>
  <si>
    <t>5C.4</t>
  </si>
  <si>
    <t>UI redesign: Home page clean welcome header with SVG quick action icons for Check Symptoms, Find Facility, Health Library. Facility Finder emergency contacts redesigned as styled cards</t>
  </si>
  <si>
    <t>5C.5</t>
  </si>
  <si>
    <t>UI redesign: System Analytics trendline graceful fallback for missing data. Login button updated to teal filled to match CedarCare brand palette</t>
  </si>
  <si>
    <t>5C.6</t>
  </si>
  <si>
    <t>Sprint 5C prep: Created seed_db.py — auto-seeds test@test.com / Password123 on fresh deployment so Streamlit Cloud starts with a usable test account</t>
  </si>
  <si>
    <t>5C.7</t>
  </si>
  <si>
    <t>Sprint 5C: Deployed CedarCare to Streamlit Cloud at cedarcare.streamlit.app. Configured repo, branch (main), entry point (Implementation/src/app.py), Python 3.11, OPENAI_API_KEY secret</t>
  </si>
  <si>
    <t>5C.8</t>
  </si>
  <si>
    <t>Bug fix: Chips appearing on non-medical redirect. Implemented _show_chips session state flag — chips only shown when bot has genuinely collected symptoms. Added two-tier redirect logic: gentle redirect turn 1, hard end turn 2+</t>
  </si>
  <si>
    <t>5C.9</t>
  </si>
  <si>
    <t>Bug fix: Turn count reset on first symptom extraction — users who open with vague input get full 3-turn chip flow once real symptoms identified. Fixed chip handler to set _show_chips=True on follow_up with collected_symptoms</t>
  </si>
  <si>
    <t>5C.10</t>
  </si>
  <si>
    <t>Bug fix: Chip result rendering fix — result card not showing after final chip selection. Added _show_chips=False in chip handler for final assessment statuses. Removed redundant st.caption(hint) above chips</t>
  </si>
  <si>
    <t>5C.11</t>
  </si>
  <si>
    <t>Landing page: Built cedarcare_landing_v3_vch.html — custom HTML/CSS landing page via st.components.v1.html(). Hero section, chatbot mockup demo, statistics bar, trust indicators (CTAS-aligned triage, HealthLink BC, GPT-4o-mini powered)</t>
  </si>
  <si>
    <t>5C.12</t>
  </si>
  <si>
    <t>User testing: Set up CedarCare User Evaluation Survey on Google Forms (6 questions, Likert scales + open-ended). Distributed to 12 testers. Collected and captured all response charts for final report</t>
  </si>
  <si>
    <t>5C.13</t>
  </si>
  <si>
    <t>End-to-end smoke test of live deployment — verified all 6 pages load, chatbot pipeline works, emergency detection fires, seed data present, and user testing form accessible</t>
  </si>
  <si>
    <t>Sprint 6</t>
  </si>
  <si>
    <t>Sprint 6: Final Report — Wrote Sections 1-4 (Introduction, Project Summary, Changes to Proposal, Project Completion Timeline). Generated Gantt chart PNG using matplotlib and Playwright</t>
  </si>
  <si>
    <t>Sprint 6: Final Report — Wrote Section 5 (Technical Implementation): Three-Layer Pipeline, CTAS rules, ML architecture, database design, dual ML architecture, OpenAI integration with system prompt engineering</t>
  </si>
  <si>
    <t>Sprint 6: Generated architecture diagram and tech stack diagram using Google Gemini image generation with detailed prompts. Generated algorithm benchmarking bar chart (RF vs SVM vs KNN) using matplotlib</t>
  </si>
  <si>
    <t>Sprint 6: Generated dark-theme Monokai code snippet PNGs for rules.py, chatbot.py (_ml_predict), database.py, auth.py, openai_utils.py, and 6___System_Analytics.py (K-Means pipeline) using Pygments ImageFormatter</t>
  </si>
  <si>
    <t>Sprint 6: Final Report — Wrote Sections 6-11 (Implemented Features 1-6): Secure Authentication, Symptom Assessment Chatbot, Personal Health Dashboard, BC Facility Finder, Health Education Library, System Analytics Dashboard</t>
  </si>
  <si>
    <t>Sprint 6: Captured all platform screenshots for report across all 6 features. Named and inserted all figures with captions. Documented chatbot flows including emergency, ML prediction, OpenAI fallback, and multi-turn chip flow</t>
  </si>
  <si>
    <t>Sprint 6: Final Report — Wrote Section 12 (Evaluation Techniques): pytest suite table (95 tests, 9 files), CI/CD pipeline section, user evaluation survey results (12 responses, Q1-Q5 analysis), implementation changes in response to feedback</t>
  </si>
  <si>
    <t>Sprint 6: Final Report — Wrote remaining sections: Competitive Analysis, Perceptual Map, Limitations and Constraints, Future Work, Conclusion, References, Appendix A (Installation Guide) and Appendix B (User Guide with screenshots)</t>
  </si>
  <si>
    <t>Sprint 6: Updated work log Excel with all Sprint 5B, 5C, and Sprint 6 entries (Apr 2-6). Compiled all potential demo Q&amp;A pairs for presentation preparation (13 questions with model answers)</t>
  </si>
  <si>
    <t>Sprint 6: Final GitHub check-in — pushed final report PDF, presentation slides, updated README with installation instructions, and user guide PDF to ReportsAndDocuments folder on main branch</t>
  </si>
  <si>
    <t>Sprint 6: Submitted final report PDF on Blackboard. Confirmed all checklist items complete: GitHub check-in, slides, user guide, README, Blackboard submission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</si>
</sst>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numFmts>
  <fonts count="20" x14ac:knownFonts="1">
    <font>
      <sz val="11"/>
      <color theme="1"/>
      <name val="Calibri"/>
      <family val="2"/>
      <scheme val="minor"/>
    </font>
    <font>
      <b/>
      <sz val="16"/>
      <color rgb="FF1F4E79"/>
      <name val="Arial"/>
      <family val="2"/>
    </font>
    <font>
      <b/>
      <sz val="12"/>
      <color rgb="FF2E75B6"/>
      <name val="Arial"/>
      <family val="2"/>
    </font>
    <font>
      <b/>
      <sz val="11"/>
      <color rgb="FFFFFFFF"/>
      <name val="Arial"/>
      <family val="2"/>
    </font>
    <font>
      <sz val="10"/>
      <name val="Arial"/>
      <family val="2"/>
    </font>
    <font>
      <b/>
      <sz val="11"/>
      <name val="Arial"/>
      <family val="2"/>
    </font>
    <font>
      <b/>
      <sz val="11"/>
      <color rgb="FFC00000"/>
      <name val="Calibri"/>
      <family val="2"/>
    </font>
    <font>
      <sz val="10"/>
      <color theme="1"/>
      <name val="Arial"/>
      <family val="2"/>
    </font>
    <font>
      <b/>
      <sz val="11"/>
      <color rgb="FFFFFFFF"/>
      <name val="Calibri"/>
      <family val="2"/>
    </font>
    <font>
      <b/>
      <sz val="11"/>
      <name val="Calibri"/>
      <family val="2"/>
    </font>
    <font>
      <i/>
      <sz val="9"/>
      <name val="Calibri"/>
      <family val="2"/>
    </font>
    <font>
      <b/>
      <sz val="12"/>
      <name val="Calibri"/>
      <family val="2"/>
    </font>
    <font>
      <b/>
      <sz val="16"/>
      <name val="Calibri"/>
      <family val="2"/>
    </font>
    <font>
      <b/>
      <sz val="11"/>
      <color theme="1"/>
      <name val="Calibri"/>
      <family val="2"/>
      <scheme val="minor"/>
    </font>
    <font>
      <sz val="10"/>
      <name val="Arial"/>
      <family val="2"/>
    </font>
    <font>
      <b/>
      <sz val="11"/>
      <color rgb="FF666666"/>
      <name val="Arial"/>
      <family val="2"/>
    </font>
    <font>
      <b/>
      <sz val="10"/>
      <color theme="1"/>
      <name val="Arial"/>
      <family val="2"/>
    </font>
    <font>
      <sz val="11"/>
      <color theme="0"/>
      <name val="Calibri"/>
      <family val="2"/>
      <scheme val="minor"/>
    </font>
    <font>
      <sz val="8"/>
      <name val="Arial"/>
      <family val="2"/>
    </font>
    <font>
      <b/>
      <sz val="12"/>
      <color theme="0"/>
      <name val="Calibri"/>
      <family val="2"/>
    </font>
  </fonts>
  <fills count="28">
    <fill>
      <patternFill patternType="none"/>
    </fill>
    <fill>
      <patternFill patternType="gray125"/>
    </fill>
    <fill>
      <patternFill patternType="solid">
        <fgColor rgb="FF1F4E79"/>
      </patternFill>
    </fill>
    <fill>
      <patternFill patternType="solid">
        <fgColor rgb="FFBDD7EE"/>
      </patternFill>
    </fill>
    <fill>
      <patternFill patternType="solid">
        <fgColor rgb="FFC6EFCE"/>
      </patternFill>
    </fill>
    <fill>
      <patternFill patternType="solid">
        <fgColor rgb="FFFFEB9C"/>
      </patternFill>
    </fill>
    <fill>
      <patternFill patternType="solid">
        <fgColor rgb="FFF4B084"/>
      </patternFill>
    </fill>
    <fill>
      <patternFill patternType="solid">
        <fgColor rgb="FFD9E1F2"/>
      </patternFill>
    </fill>
    <fill>
      <patternFill patternType="solid">
        <fgColor rgb="FFE2EFDA"/>
      </patternFill>
    </fill>
    <fill>
      <patternFill patternType="solid">
        <fgColor rgb="FF2E75B6"/>
      </patternFill>
    </fill>
    <fill>
      <patternFill patternType="solid">
        <fgColor rgb="FFFF6B6B"/>
      </patternFill>
    </fill>
    <fill>
      <patternFill patternType="solid">
        <fgColor rgb="FFE6B8FF"/>
      </patternFill>
    </fill>
    <fill>
      <patternFill patternType="solid">
        <fgColor rgb="FFFFD966"/>
      </patternFill>
    </fill>
    <fill>
      <patternFill patternType="solid">
        <fgColor rgb="FF00B0F0"/>
        <bgColor indexed="64"/>
      </patternFill>
    </fill>
    <fill>
      <patternFill patternType="solid">
        <fgColor rgb="FFC6EFCE"/>
      </patternFill>
    </fill>
    <fill>
      <patternFill patternType="solid">
        <fgColor rgb="FFD5A6E6"/>
      </patternFill>
    </fill>
    <fill>
      <patternFill patternType="solid">
        <fgColor rgb="FFFF99FF"/>
      </patternFill>
    </fill>
    <fill>
      <patternFill patternType="solid">
        <fgColor rgb="FFBDD7EE"/>
      </patternFill>
    </fill>
    <fill>
      <patternFill patternType="solid">
        <fgColor rgb="FF1F4E79"/>
      </patternFill>
    </fill>
    <fill>
      <patternFill patternType="solid">
        <fgColor rgb="FFFFEB9C"/>
      </patternFill>
    </fill>
    <fill>
      <patternFill patternType="solid">
        <fgColor rgb="FFFCE4D6"/>
      </patternFill>
    </fill>
    <fill>
      <patternFill patternType="solid">
        <fgColor rgb="FFE2D1F9"/>
      </patternFill>
    </fill>
    <fill>
      <patternFill patternType="solid">
        <fgColor rgb="FFB4C7E7"/>
      </patternFill>
    </fill>
    <fill>
      <patternFill patternType="solid">
        <fgColor rgb="FFFFD966"/>
      </patternFill>
    </fill>
    <fill>
      <patternFill patternType="solid">
        <fgColor rgb="FFD6E4F0"/>
      </patternFill>
    </fill>
    <fill>
      <patternFill patternType="solid">
        <fgColor theme="9" tint="0.79998168889431442"/>
        <bgColor indexed="64"/>
      </patternFill>
    </fill>
    <fill>
      <patternFill patternType="solid">
        <fgColor rgb="FFB7E4CF"/>
        <bgColor indexed="64"/>
      </patternFill>
    </fill>
    <fill>
      <patternFill patternType="solid">
        <fgColor rgb="FFFF99FF"/>
        <bgColor indexed="64"/>
      </patternFill>
    </fill>
  </fills>
  <borders count="1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style="thin">
        <color rgb="FFCCCCCC"/>
      </left>
      <right style="thin">
        <color rgb="FFCCCCCC"/>
      </right>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auto="1"/>
      </left>
      <right style="thin">
        <color auto="1"/>
      </right>
      <top style="thin">
        <color auto="1"/>
      </top>
      <bottom style="thin">
        <color auto="1"/>
      </bottom>
      <diagonal/>
    </border>
    <border>
      <left style="thin">
        <color rgb="FFCCCCCC"/>
      </left>
      <right/>
      <top style="thin">
        <color rgb="FFCCCCCC"/>
      </top>
      <bottom style="thin">
        <color rgb="FFCCCCCC"/>
      </bottom>
      <diagonal/>
    </border>
    <border>
      <left style="thin">
        <color rgb="FFCCCCCC"/>
      </left>
      <right/>
      <top style="thin">
        <color rgb="FFCCCCCC"/>
      </top>
      <bottom/>
      <diagonal/>
    </border>
    <border>
      <left/>
      <right/>
      <top style="thin">
        <color rgb="FFCCCCCC"/>
      </top>
      <bottom/>
      <diagonal/>
    </border>
    <border>
      <left/>
      <right style="thin">
        <color rgb="FFCCCCCC"/>
      </right>
      <top style="thin">
        <color rgb="FFCCCCCC"/>
      </top>
      <bottom/>
      <diagonal/>
    </border>
    <border>
      <left style="thin">
        <color rgb="FFCCCCCC"/>
      </left>
      <right/>
      <top/>
      <bottom style="thin">
        <color rgb="FFCCCCCC"/>
      </bottom>
      <diagonal/>
    </border>
    <border>
      <left/>
      <right/>
      <top/>
      <bottom style="thin">
        <color rgb="FFCCCCCC"/>
      </bottom>
      <diagonal/>
    </border>
    <border>
      <left/>
      <right style="thin">
        <color rgb="FFCCCCCC"/>
      </right>
      <top/>
      <bottom style="thin">
        <color rgb="FFCCCCCC"/>
      </bottom>
      <diagonal/>
    </border>
  </borders>
  <cellStyleXfs count="1">
    <xf numFmtId="0" fontId="0" fillId="0" borderId="0"/>
  </cellStyleXfs>
  <cellXfs count="126">
    <xf numFmtId="0" fontId="0" fillId="0" borderId="0" xfId="0"/>
    <xf numFmtId="0" fontId="4" fillId="0" borderId="1" xfId="0" applyFont="1" applyBorder="1" applyAlignment="1">
      <alignment horizontal="center"/>
    </xf>
    <xf numFmtId="0" fontId="3" fillId="9" borderId="1" xfId="0" applyFont="1" applyFill="1" applyBorder="1" applyAlignment="1">
      <alignment horizontal="center"/>
    </xf>
    <xf numFmtId="0" fontId="0" fillId="0" borderId="1" xfId="0" applyBorder="1" applyAlignment="1">
      <alignment horizontal="center"/>
    </xf>
    <xf numFmtId="2" fontId="0" fillId="0" borderId="1" xfId="0" applyNumberFormat="1" applyBorder="1" applyAlignment="1">
      <alignment horizontal="center"/>
    </xf>
    <xf numFmtId="0" fontId="1" fillId="0" borderId="0" xfId="0" applyFont="1"/>
    <xf numFmtId="0" fontId="3" fillId="2" borderId="0" xfId="0" applyFont="1" applyFill="1"/>
    <xf numFmtId="0" fontId="0" fillId="3" borderId="0" xfId="0" applyFill="1"/>
    <xf numFmtId="0" fontId="0" fillId="0" borderId="0" xfId="0" applyAlignment="1">
      <alignment horizontal="center"/>
    </xf>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11" borderId="0" xfId="0" applyFill="1"/>
    <xf numFmtId="0" fontId="0" fillId="12" borderId="0" xfId="0" applyFill="1"/>
    <xf numFmtId="0" fontId="0" fillId="0" borderId="0" xfId="0" applyAlignment="1">
      <alignment horizontal="center" vertical="center"/>
    </xf>
    <xf numFmtId="0" fontId="7" fillId="0" borderId="1" xfId="0" applyFont="1" applyBorder="1" applyAlignment="1">
      <alignment horizontal="center" vertical="center"/>
    </xf>
    <xf numFmtId="0" fontId="7" fillId="0" borderId="0" xfId="0" applyFont="1" applyAlignment="1">
      <alignment horizontal="center" vertical="center"/>
    </xf>
    <xf numFmtId="0" fontId="7" fillId="0" borderId="1" xfId="0" applyFont="1" applyBorder="1"/>
    <xf numFmtId="0" fontId="7" fillId="0" borderId="0" xfId="0" applyFont="1"/>
    <xf numFmtId="0" fontId="4" fillId="0" borderId="0" xfId="0" applyFont="1" applyAlignment="1">
      <alignment horizontal="center"/>
    </xf>
    <xf numFmtId="0" fontId="4" fillId="0" borderId="1" xfId="0" applyFont="1" applyBorder="1" applyAlignment="1">
      <alignment horizontal="left"/>
    </xf>
    <xf numFmtId="0" fontId="7" fillId="0" borderId="0" xfId="0" applyFont="1" applyAlignment="1">
      <alignment horizontal="center"/>
    </xf>
    <xf numFmtId="0" fontId="4" fillId="0" borderId="3" xfId="0" applyFont="1" applyBorder="1" applyAlignment="1">
      <alignment horizontal="left"/>
    </xf>
    <xf numFmtId="0" fontId="3" fillId="2" borderId="2" xfId="0" applyFont="1" applyFill="1" applyBorder="1" applyAlignment="1">
      <alignment horizontal="center" vertical="center"/>
    </xf>
    <xf numFmtId="2"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wrapText="1"/>
    </xf>
    <xf numFmtId="2" fontId="7" fillId="0" borderId="0" xfId="0" applyNumberFormat="1" applyFont="1" applyAlignment="1">
      <alignment horizontal="center"/>
    </xf>
    <xf numFmtId="0" fontId="0" fillId="13" borderId="0" xfId="0" applyFill="1"/>
    <xf numFmtId="0" fontId="8" fillId="18" borderId="6" xfId="0" applyFont="1" applyFill="1" applyBorder="1" applyAlignment="1">
      <alignment horizontal="center"/>
    </xf>
    <xf numFmtId="0" fontId="0" fillId="14" borderId="6" xfId="0" applyFill="1" applyBorder="1" applyAlignment="1">
      <alignment horizontal="center"/>
    </xf>
    <xf numFmtId="0" fontId="0" fillId="14" borderId="6" xfId="0" applyFill="1" applyBorder="1"/>
    <xf numFmtId="0" fontId="0" fillId="0" borderId="6" xfId="0" applyBorder="1" applyAlignment="1">
      <alignment horizontal="center"/>
    </xf>
    <xf numFmtId="2" fontId="0" fillId="0" borderId="6" xfId="0" applyNumberFormat="1" applyBorder="1" applyAlignment="1">
      <alignment horizontal="center"/>
    </xf>
    <xf numFmtId="9" fontId="0" fillId="0" borderId="6" xfId="0" applyNumberFormat="1" applyBorder="1" applyAlignment="1">
      <alignment horizontal="center"/>
    </xf>
    <xf numFmtId="0" fontId="0" fillId="17" borderId="6" xfId="0" applyFill="1" applyBorder="1" applyAlignment="1">
      <alignment horizontal="center"/>
    </xf>
    <xf numFmtId="0" fontId="0" fillId="17" borderId="6" xfId="0" applyFill="1" applyBorder="1"/>
    <xf numFmtId="0" fontId="0" fillId="19" borderId="6" xfId="0" applyFill="1" applyBorder="1" applyAlignment="1">
      <alignment horizontal="center"/>
    </xf>
    <xf numFmtId="0" fontId="0" fillId="19" borderId="6" xfId="0" applyFill="1" applyBorder="1"/>
    <xf numFmtId="0" fontId="0" fillId="20" borderId="6" xfId="0" applyFill="1" applyBorder="1" applyAlignment="1">
      <alignment horizontal="center"/>
    </xf>
    <xf numFmtId="0" fontId="0" fillId="20" borderId="6" xfId="0" applyFill="1" applyBorder="1"/>
    <xf numFmtId="0" fontId="0" fillId="21" borderId="6" xfId="0" applyFill="1" applyBorder="1" applyAlignment="1">
      <alignment horizontal="center"/>
    </xf>
    <xf numFmtId="0" fontId="0" fillId="21" borderId="6" xfId="0" applyFill="1" applyBorder="1"/>
    <xf numFmtId="0" fontId="0" fillId="22" borderId="6" xfId="0" applyFill="1" applyBorder="1" applyAlignment="1">
      <alignment horizontal="center"/>
    </xf>
    <xf numFmtId="0" fontId="0" fillId="22" borderId="6" xfId="0" applyFill="1" applyBorder="1"/>
    <xf numFmtId="0" fontId="5" fillId="16" borderId="6" xfId="0" applyFont="1" applyFill="1" applyBorder="1" applyAlignment="1">
      <alignment horizontal="center"/>
    </xf>
    <xf numFmtId="0" fontId="0" fillId="16" borderId="6" xfId="0" applyFill="1" applyBorder="1"/>
    <xf numFmtId="0" fontId="9" fillId="0" borderId="6" xfId="0" applyFont="1" applyBorder="1"/>
    <xf numFmtId="0" fontId="0" fillId="0" borderId="6" xfId="0" applyBorder="1"/>
    <xf numFmtId="0" fontId="9" fillId="0" borderId="6" xfId="0" applyFont="1" applyBorder="1" applyAlignment="1">
      <alignment horizontal="center"/>
    </xf>
    <xf numFmtId="2" fontId="9" fillId="0" borderId="6" xfId="0" applyNumberFormat="1" applyFont="1" applyBorder="1" applyAlignment="1">
      <alignment horizontal="center"/>
    </xf>
    <xf numFmtId="9" fontId="9" fillId="0" borderId="6" xfId="0" applyNumberFormat="1" applyFont="1" applyBorder="1" applyAlignment="1">
      <alignment horizontal="center"/>
    </xf>
    <xf numFmtId="0" fontId="10" fillId="0" borderId="0" xfId="0" applyFont="1" applyAlignment="1">
      <alignment horizontal="center"/>
    </xf>
    <xf numFmtId="0" fontId="0" fillId="3" borderId="6" xfId="0" applyFill="1" applyBorder="1"/>
    <xf numFmtId="0" fontId="0" fillId="4" borderId="6" xfId="0" applyFill="1" applyBorder="1"/>
    <xf numFmtId="0" fontId="0" fillId="5" borderId="6" xfId="0" applyFill="1" applyBorder="1"/>
    <xf numFmtId="0" fontId="0" fillId="6" borderId="6" xfId="0" applyFill="1" applyBorder="1"/>
    <xf numFmtId="0" fontId="0" fillId="7" borderId="6" xfId="0" applyFill="1" applyBorder="1"/>
    <xf numFmtId="0" fontId="0" fillId="8" borderId="6" xfId="0" applyFill="1" applyBorder="1"/>
    <xf numFmtId="0" fontId="6" fillId="10" borderId="6" xfId="0" applyFont="1" applyFill="1" applyBorder="1" applyAlignment="1">
      <alignment horizontal="center"/>
    </xf>
    <xf numFmtId="0" fontId="11" fillId="3" borderId="1" xfId="0" applyFont="1" applyFill="1" applyBorder="1"/>
    <xf numFmtId="2" fontId="8" fillId="18" borderId="6" xfId="0" applyNumberFormat="1" applyFont="1" applyFill="1" applyBorder="1" applyAlignment="1">
      <alignment horizontal="center"/>
    </xf>
    <xf numFmtId="0" fontId="0" fillId="15" borderId="6" xfId="0" applyFill="1" applyBorder="1"/>
    <xf numFmtId="0" fontId="0" fillId="23" borderId="6" xfId="0" applyFill="1" applyBorder="1"/>
    <xf numFmtId="0" fontId="0" fillId="0" borderId="0" xfId="0" applyAlignment="1">
      <alignment horizontal="left"/>
    </xf>
    <xf numFmtId="0" fontId="4" fillId="14" borderId="6" xfId="0" applyFont="1" applyFill="1" applyBorder="1" applyAlignment="1">
      <alignment horizontal="left"/>
    </xf>
    <xf numFmtId="0" fontId="4" fillId="15" borderId="6" xfId="0" applyFont="1" applyFill="1" applyBorder="1" applyAlignment="1">
      <alignment horizontal="left"/>
    </xf>
    <xf numFmtId="0" fontId="4" fillId="16" borderId="6" xfId="0" applyFont="1" applyFill="1" applyBorder="1" applyAlignment="1">
      <alignment horizontal="left"/>
    </xf>
    <xf numFmtId="0" fontId="4" fillId="17" borderId="6" xfId="0" applyFont="1" applyFill="1" applyBorder="1" applyAlignment="1">
      <alignment horizontal="left"/>
    </xf>
    <xf numFmtId="0" fontId="3" fillId="0" borderId="1" xfId="0" applyFont="1" applyBorder="1" applyAlignment="1">
      <alignment horizontal="center"/>
    </xf>
    <xf numFmtId="0" fontId="14" fillId="24" borderId="6" xfId="0" applyFont="1" applyFill="1" applyBorder="1"/>
    <xf numFmtId="0" fontId="14" fillId="8" borderId="6" xfId="0" applyFont="1" applyFill="1" applyBorder="1"/>
    <xf numFmtId="0" fontId="14" fillId="0" borderId="0" xfId="0" applyFont="1" applyAlignment="1">
      <alignment horizontal="center"/>
    </xf>
    <xf numFmtId="0" fontId="14" fillId="0" borderId="0" xfId="0" applyFont="1"/>
    <xf numFmtId="0" fontId="9" fillId="0" borderId="0" xfId="0" applyFont="1"/>
    <xf numFmtId="0" fontId="18" fillId="0" borderId="6" xfId="0" applyFont="1" applyBorder="1"/>
    <xf numFmtId="0" fontId="4" fillId="0" borderId="0" xfId="0" applyFont="1"/>
    <xf numFmtId="0" fontId="4" fillId="0" borderId="6" xfId="0" applyFont="1" applyBorder="1" applyAlignment="1">
      <alignment horizontal="left"/>
    </xf>
    <xf numFmtId="164" fontId="4" fillId="0" borderId="0" xfId="0" applyNumberFormat="1" applyFont="1" applyAlignment="1">
      <alignment horizontal="center"/>
    </xf>
    <xf numFmtId="0" fontId="0" fillId="0" borderId="7" xfId="0" applyBorder="1" applyAlignment="1">
      <alignment horizontal="center"/>
    </xf>
    <xf numFmtId="0" fontId="0" fillId="0" borderId="7" xfId="0" applyBorder="1" applyAlignment="1">
      <alignment horizontal="center" vertical="center"/>
    </xf>
    <xf numFmtId="0" fontId="7" fillId="0" borderId="5" xfId="0" applyFont="1" applyBorder="1" applyAlignment="1">
      <alignment horizontal="center" vertical="center"/>
    </xf>
    <xf numFmtId="0" fontId="4" fillId="25" borderId="3" xfId="0" applyFont="1" applyFill="1" applyBorder="1" applyAlignment="1">
      <alignment horizontal="left"/>
    </xf>
    <xf numFmtId="0" fontId="4" fillId="0" borderId="4" xfId="0" applyFont="1" applyBorder="1" applyAlignment="1">
      <alignment horizontal="center"/>
    </xf>
    <xf numFmtId="165" fontId="4" fillId="0" borderId="0" xfId="0" applyNumberFormat="1" applyFont="1" applyAlignment="1">
      <alignment horizontal="center"/>
    </xf>
    <xf numFmtId="165" fontId="4" fillId="0" borderId="1" xfId="0" applyNumberFormat="1" applyFont="1" applyBorder="1" applyAlignment="1">
      <alignment horizontal="center"/>
    </xf>
    <xf numFmtId="165" fontId="4" fillId="0" borderId="7" xfId="0" applyNumberFormat="1" applyFont="1" applyBorder="1" applyAlignment="1">
      <alignment horizontal="center"/>
    </xf>
    <xf numFmtId="2" fontId="0" fillId="0" borderId="7" xfId="0" applyNumberFormat="1" applyBorder="1" applyAlignment="1">
      <alignment horizontal="center" vertical="center"/>
    </xf>
    <xf numFmtId="2" fontId="0" fillId="0" borderId="0" xfId="0" applyNumberFormat="1"/>
    <xf numFmtId="2" fontId="0" fillId="0" borderId="5" xfId="0" applyNumberFormat="1" applyBorder="1" applyAlignment="1">
      <alignment horizontal="center"/>
    </xf>
    <xf numFmtId="0" fontId="4" fillId="26" borderId="1" xfId="0" applyFont="1" applyFill="1" applyBorder="1" applyAlignment="1">
      <alignment horizontal="left"/>
    </xf>
    <xf numFmtId="0" fontId="15" fillId="0" borderId="0" xfId="0" applyFont="1" applyAlignment="1">
      <alignment horizontal="center"/>
    </xf>
    <xf numFmtId="0" fontId="13" fillId="0" borderId="0" xfId="0" applyFont="1"/>
    <xf numFmtId="0" fontId="16" fillId="0" borderId="0" xfId="0" applyFont="1" applyAlignment="1">
      <alignment horizontal="center" vertical="center"/>
    </xf>
    <xf numFmtId="0" fontId="16" fillId="0" borderId="0" xfId="0" applyFont="1"/>
    <xf numFmtId="0" fontId="2" fillId="0" borderId="0" xfId="0" applyFont="1" applyAlignment="1">
      <alignment horizontal="center"/>
    </xf>
    <xf numFmtId="0" fontId="0" fillId="0" borderId="0" xfId="0"/>
    <xf numFmtId="0" fontId="7" fillId="0" borderId="0" xfId="0" applyFont="1" applyAlignment="1">
      <alignment horizontal="center" vertical="center"/>
    </xf>
    <xf numFmtId="0" fontId="7" fillId="0" borderId="0" xfId="0" applyFont="1"/>
    <xf numFmtId="0" fontId="1" fillId="0" borderId="0" xfId="0" applyFont="1" applyAlignment="1">
      <alignment horizontal="center"/>
    </xf>
    <xf numFmtId="0" fontId="11" fillId="2" borderId="0" xfId="0" applyFont="1" applyFill="1"/>
    <xf numFmtId="0" fontId="19" fillId="2" borderId="0" xfId="0" applyFont="1" applyFill="1"/>
    <xf numFmtId="0" fontId="17" fillId="0" borderId="0" xfId="0" applyFont="1"/>
    <xf numFmtId="0" fontId="12" fillId="0" borderId="0" xfId="0" applyFont="1" applyAlignment="1">
      <alignment horizontal="center"/>
    </xf>
    <xf numFmtId="0" fontId="7" fillId="0" borderId="1" xfId="0" applyFont="1" applyBorder="1" applyAlignment="1">
      <alignment horizontal="left"/>
    </xf>
    <xf numFmtId="0" fontId="4" fillId="27" borderId="1" xfId="0" applyFont="1" applyFill="1" applyBorder="1" applyAlignment="1">
      <alignment horizontal="left"/>
    </xf>
    <xf numFmtId="165" fontId="4" fillId="0" borderId="8" xfId="0" applyNumberFormat="1" applyFont="1" applyBorder="1" applyAlignment="1">
      <alignment horizontal="center"/>
    </xf>
    <xf numFmtId="0" fontId="4" fillId="0" borderId="9" xfId="0" applyFont="1" applyBorder="1" applyAlignment="1">
      <alignment horizontal="center"/>
    </xf>
    <xf numFmtId="2" fontId="0" fillId="0" borderId="10" xfId="0" applyNumberFormat="1" applyBorder="1" applyAlignment="1">
      <alignment horizontal="center"/>
    </xf>
    <xf numFmtId="0" fontId="5" fillId="8" borderId="11" xfId="0" applyFont="1" applyFill="1" applyBorder="1" applyAlignment="1">
      <alignment horizontal="right"/>
    </xf>
    <xf numFmtId="0" fontId="5" fillId="8" borderId="12" xfId="0" applyFont="1" applyFill="1" applyBorder="1" applyAlignment="1">
      <alignment horizontal="right"/>
    </xf>
    <xf numFmtId="0" fontId="5" fillId="8" borderId="13" xfId="0" applyFont="1" applyFill="1" applyBorder="1" applyAlignment="1">
      <alignment horizontal="right"/>
    </xf>
    <xf numFmtId="165" fontId="4" fillId="0" borderId="11" xfId="0" applyNumberFormat="1" applyFont="1" applyBorder="1" applyAlignment="1">
      <alignment horizontal="center"/>
    </xf>
    <xf numFmtId="0" fontId="4" fillId="0" borderId="12" xfId="0" applyFont="1" applyBorder="1" applyAlignment="1">
      <alignment horizontal="center"/>
    </xf>
    <xf numFmtId="2" fontId="7" fillId="0" borderId="4" xfId="0" applyNumberFormat="1" applyFont="1" applyBorder="1" applyAlignment="1">
      <alignment horizontal="center"/>
    </xf>
    <xf numFmtId="2" fontId="7" fillId="0" borderId="12" xfId="0" applyNumberFormat="1" applyFont="1" applyBorder="1" applyAlignment="1">
      <alignment horizontal="center"/>
    </xf>
    <xf numFmtId="2" fontId="7" fillId="0" borderId="9" xfId="0" applyNumberFormat="1" applyFont="1" applyBorder="1" applyAlignment="1">
      <alignment horizontal="center"/>
    </xf>
    <xf numFmtId="0" fontId="4" fillId="0" borderId="2" xfId="0" applyFont="1" applyBorder="1" applyAlignment="1">
      <alignment horizontal="left"/>
    </xf>
    <xf numFmtId="0" fontId="7" fillId="0" borderId="2" xfId="0" applyFont="1" applyBorder="1" applyAlignment="1">
      <alignment horizontal="center" vertical="center"/>
    </xf>
    <xf numFmtId="0" fontId="7" fillId="0" borderId="2" xfId="0" applyFont="1" applyBorder="1"/>
    <xf numFmtId="2" fontId="5" fillId="8" borderId="3" xfId="0" applyNumberFormat="1" applyFont="1" applyFill="1" applyBorder="1" applyAlignment="1">
      <alignment horizontal="left"/>
    </xf>
    <xf numFmtId="0" fontId="7" fillId="8" borderId="3" xfId="0" applyFont="1" applyFill="1" applyBorder="1" applyAlignment="1">
      <alignment horizontal="center" vertical="center"/>
    </xf>
    <xf numFmtId="0" fontId="7" fillId="8" borderId="3" xfId="0" applyFont="1" applyFill="1" applyBorder="1"/>
    <xf numFmtId="49" fontId="7" fillId="0" borderId="1" xfId="0" applyNumberFormat="1" applyFont="1" applyBorder="1" applyAlignment="1">
      <alignment horizontal="center" vertical="center"/>
    </xf>
  </cellXfs>
  <cellStyles count="1">
    <cellStyle name="Normal" xfId="0" builtinId="0"/>
  </cellStyles>
  <dxfs count="21">
    <dxf>
      <fill>
        <patternFill patternType="solid">
          <fgColor rgb="FFFFD966"/>
          <bgColor rgb="FFFFD966"/>
        </patternFill>
      </fill>
    </dxf>
    <dxf>
      <fill>
        <patternFill patternType="solid">
          <fgColor rgb="FFD5A6E6"/>
          <bgColor rgb="FFD5A6E6"/>
        </patternFill>
      </fill>
    </dxf>
    <dxf>
      <fill>
        <patternFill patternType="solid">
          <fgColor rgb="FFFF99FF"/>
          <bgColor rgb="FFFF99FF"/>
        </patternFill>
      </fill>
    </dxf>
    <dxf>
      <fill>
        <patternFill patternType="solid">
          <fgColor rgb="FFB4C7E7"/>
          <bgColor rgb="FFB4C7E7"/>
        </patternFill>
      </fill>
    </dxf>
    <dxf>
      <fill>
        <patternFill patternType="solid">
          <fgColor rgb="FFB4C7E7"/>
          <bgColor rgb="FFB4C7E7"/>
        </patternFill>
      </fill>
    </dxf>
    <dxf>
      <fill>
        <patternFill patternType="solid">
          <fgColor rgb="FFE2D1F9"/>
          <bgColor rgb="FFE2D1F9"/>
        </patternFill>
      </fill>
    </dxf>
    <dxf>
      <fill>
        <patternFill patternType="solid">
          <fgColor rgb="FFE2D1F9"/>
          <bgColor rgb="FFE2D1F9"/>
        </patternFill>
      </fill>
    </dxf>
    <dxf>
      <fill>
        <patternFill patternType="solid">
          <fgColor rgb="FFFCE4D6"/>
          <bgColor rgb="FFFCE4D6"/>
        </patternFill>
      </fill>
    </dxf>
    <dxf>
      <fill>
        <patternFill patternType="solid">
          <fgColor rgb="FFFCE4D6"/>
          <bgColor rgb="FFFCE4D6"/>
        </patternFill>
      </fill>
    </dxf>
    <dxf>
      <fill>
        <patternFill patternType="solid">
          <fgColor rgb="FFFCE4D6"/>
          <bgColor rgb="FFFCE4D6"/>
        </patternFill>
      </fill>
    </dxf>
    <dxf>
      <fill>
        <patternFill patternType="solid">
          <fgColor rgb="FFFCE4D6"/>
          <bgColor rgb="FFFCE4D6"/>
        </patternFill>
      </fill>
    </dxf>
    <dxf>
      <fill>
        <patternFill patternType="solid">
          <fgColor rgb="FFFFEB9C"/>
          <bgColor rgb="FFFFEB9C"/>
        </patternFill>
      </fill>
    </dxf>
    <dxf>
      <fill>
        <patternFill patternType="solid">
          <fgColor rgb="FFFFEB9C"/>
          <bgColor rgb="FFFFEB9C"/>
        </patternFill>
      </fill>
    </dxf>
    <dxf>
      <fill>
        <patternFill patternType="solid">
          <fgColor rgb="FFFFEB9C"/>
          <bgColor rgb="FFFFEB9C"/>
        </patternFill>
      </fill>
    </dxf>
    <dxf>
      <fill>
        <patternFill patternType="solid">
          <fgColor rgb="FFFFEB9C"/>
          <bgColor rgb="FFFFEB9C"/>
        </patternFill>
      </fill>
    </dxf>
    <dxf>
      <fill>
        <patternFill patternType="solid">
          <fgColor rgb="FFBDD7EE"/>
          <bgColor rgb="FFBDD7EE"/>
        </patternFill>
      </fill>
    </dxf>
    <dxf>
      <fill>
        <patternFill patternType="solid">
          <fgColor rgb="FFBDD7EE"/>
          <bgColor rgb="FFBDD7EE"/>
        </patternFill>
      </fill>
    </dxf>
    <dxf>
      <fill>
        <patternFill patternType="solid">
          <fgColor rgb="FFBDD7EE"/>
          <bgColor rgb="FFBDD7EE"/>
        </patternFill>
      </fill>
    </dxf>
    <dxf>
      <fill>
        <patternFill patternType="solid">
          <fgColor rgb="FFBDD7EE"/>
          <bgColor rgb="FFBDD7EE"/>
        </patternFill>
      </fill>
    </dxf>
    <dxf>
      <fill>
        <patternFill patternType="solid">
          <fgColor rgb="FFBDD7EE"/>
          <bgColor rgb="FFBDD7E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12A1D3F-E799-4313-91D0-DBAA38962652}">
  <we:reference id="wa200009404" version="1.0.0.8" store="en-US" storeType="OMEX"/>
  <we:alternateReferences>
    <we:reference id="wa200009404" version="1.0.0.8" store="en-US" storeType="OMEX"/>
  </we:alternateReferences>
  <we:properties>
    <we:property name="claude.fileId" value="&quot;a0cf2915-0d4f-4d29-aae8-96935cfab21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35"/>
  <sheetViews>
    <sheetView tabSelected="1" zoomScaleNormal="100" workbookViewId="0">
      <pane ySplit="5" topLeftCell="A201" activePane="bottomLeft" state="frozen"/>
      <selection pane="bottomLeft" activeCell="G223" sqref="G223"/>
    </sheetView>
  </sheetViews>
  <sheetFormatPr defaultRowHeight="14.4" x14ac:dyDescent="0.3"/>
  <cols>
    <col min="1" max="1" width="14" customWidth="1"/>
    <col min="2" max="2" width="8" customWidth="1"/>
    <col min="3" max="3" width="10" customWidth="1"/>
    <col min="4" max="4" width="8" customWidth="1"/>
    <col min="5" max="5" width="34.21875" style="66" bestFit="1" customWidth="1"/>
    <col min="6" max="6" width="10" style="18" customWidth="1"/>
    <col min="7" max="7" width="255.77734375" style="20" bestFit="1" customWidth="1"/>
  </cols>
  <sheetData>
    <row r="1" spans="1:7" ht="25.05" customHeight="1" x14ac:dyDescent="0.4">
      <c r="A1" s="101" t="s">
        <v>0</v>
      </c>
      <c r="B1" s="98"/>
      <c r="C1" s="98"/>
      <c r="D1" s="98"/>
      <c r="E1" s="98"/>
      <c r="F1" s="99"/>
      <c r="G1" s="100"/>
    </row>
    <row r="2" spans="1:7" ht="19.95" customHeight="1" x14ac:dyDescent="0.3">
      <c r="A2" s="97" t="s">
        <v>1</v>
      </c>
      <c r="B2" s="98"/>
      <c r="C2" s="98"/>
      <c r="D2" s="98"/>
      <c r="E2" s="98"/>
      <c r="F2" s="99"/>
      <c r="G2" s="100"/>
    </row>
    <row r="3" spans="1:7" x14ac:dyDescent="0.3">
      <c r="A3" s="93" t="s">
        <v>2</v>
      </c>
      <c r="B3" s="94"/>
      <c r="C3" s="94"/>
      <c r="D3" s="94"/>
      <c r="E3" s="94"/>
      <c r="F3" s="95"/>
      <c r="G3" s="96"/>
    </row>
    <row r="4" spans="1:7" x14ac:dyDescent="0.3">
      <c r="F4" s="16"/>
    </row>
    <row r="5" spans="1:7" ht="22.05" customHeight="1" x14ac:dyDescent="0.3">
      <c r="A5" s="25" t="s">
        <v>3</v>
      </c>
      <c r="B5" s="25" t="s">
        <v>4</v>
      </c>
      <c r="C5" s="25" t="s">
        <v>5</v>
      </c>
      <c r="D5" s="25" t="s">
        <v>6</v>
      </c>
      <c r="E5" s="25" t="s">
        <v>7</v>
      </c>
      <c r="F5" s="25" t="s">
        <v>8</v>
      </c>
      <c r="G5" s="25" t="s">
        <v>9</v>
      </c>
    </row>
    <row r="6" spans="1:7" x14ac:dyDescent="0.3">
      <c r="A6" s="21" t="s">
        <v>10</v>
      </c>
      <c r="B6" s="21">
        <v>0</v>
      </c>
      <c r="C6" s="21" t="s">
        <v>11</v>
      </c>
      <c r="D6" s="26">
        <v>2</v>
      </c>
      <c r="E6" s="67" t="s">
        <v>12</v>
      </c>
      <c r="F6" s="27"/>
      <c r="G6" s="28" t="s">
        <v>13</v>
      </c>
    </row>
    <row r="7" spans="1:7" x14ac:dyDescent="0.3">
      <c r="A7" s="21" t="s">
        <v>10</v>
      </c>
      <c r="B7" s="21">
        <v>0</v>
      </c>
      <c r="C7" s="21" t="s">
        <v>14</v>
      </c>
      <c r="D7" s="26">
        <v>1.5</v>
      </c>
      <c r="E7" s="67" t="s">
        <v>12</v>
      </c>
      <c r="F7" s="27"/>
      <c r="G7" s="28" t="s">
        <v>15</v>
      </c>
    </row>
    <row r="8" spans="1:7" x14ac:dyDescent="0.3">
      <c r="A8" s="21" t="s">
        <v>16</v>
      </c>
      <c r="B8" s="21">
        <v>0</v>
      </c>
      <c r="C8" s="21" t="s">
        <v>11</v>
      </c>
      <c r="D8" s="26">
        <v>2</v>
      </c>
      <c r="E8" s="68" t="s">
        <v>17</v>
      </c>
      <c r="F8" s="27"/>
      <c r="G8" s="28" t="s">
        <v>18</v>
      </c>
    </row>
    <row r="9" spans="1:7" x14ac:dyDescent="0.3">
      <c r="A9" s="21" t="s">
        <v>19</v>
      </c>
      <c r="B9" s="21">
        <v>0</v>
      </c>
      <c r="C9" s="21" t="s">
        <v>20</v>
      </c>
      <c r="D9" s="26">
        <v>1</v>
      </c>
      <c r="E9" s="67" t="s">
        <v>12</v>
      </c>
      <c r="F9" s="27"/>
      <c r="G9" s="28" t="s">
        <v>21</v>
      </c>
    </row>
    <row r="10" spans="1:7" x14ac:dyDescent="0.3">
      <c r="A10" s="21" t="s">
        <v>22</v>
      </c>
      <c r="B10" s="21">
        <v>0</v>
      </c>
      <c r="C10" s="21" t="s">
        <v>23</v>
      </c>
      <c r="D10" s="26">
        <v>2.5</v>
      </c>
      <c r="E10" s="68" t="s">
        <v>17</v>
      </c>
      <c r="F10" s="27"/>
      <c r="G10" s="28" t="s">
        <v>24</v>
      </c>
    </row>
    <row r="11" spans="1:7" x14ac:dyDescent="0.3">
      <c r="A11" s="21" t="s">
        <v>25</v>
      </c>
      <c r="B11" s="21">
        <v>0</v>
      </c>
      <c r="C11" s="21" t="s">
        <v>11</v>
      </c>
      <c r="D11" s="26">
        <v>2</v>
      </c>
      <c r="E11" s="67" t="s">
        <v>12</v>
      </c>
      <c r="F11" s="27"/>
      <c r="G11" s="28" t="s">
        <v>26</v>
      </c>
    </row>
    <row r="12" spans="1:7" x14ac:dyDescent="0.3">
      <c r="A12" s="21" t="s">
        <v>27</v>
      </c>
      <c r="B12" s="21">
        <v>0</v>
      </c>
      <c r="C12" s="21" t="s">
        <v>28</v>
      </c>
      <c r="D12" s="26">
        <v>3</v>
      </c>
      <c r="E12" s="68" t="s">
        <v>17</v>
      </c>
      <c r="F12" s="27"/>
      <c r="G12" s="28" t="s">
        <v>29</v>
      </c>
    </row>
    <row r="13" spans="1:7" x14ac:dyDescent="0.3">
      <c r="A13" s="21" t="s">
        <v>30</v>
      </c>
      <c r="B13" s="21">
        <v>0</v>
      </c>
      <c r="C13" s="21" t="s">
        <v>23</v>
      </c>
      <c r="D13" s="26">
        <v>2.5</v>
      </c>
      <c r="E13" s="67" t="s">
        <v>12</v>
      </c>
      <c r="F13" s="27"/>
      <c r="G13" s="28" t="s">
        <v>31</v>
      </c>
    </row>
    <row r="14" spans="1:7" x14ac:dyDescent="0.3">
      <c r="A14" s="21" t="s">
        <v>32</v>
      </c>
      <c r="B14" s="21">
        <v>0</v>
      </c>
      <c r="C14" s="21" t="s">
        <v>28</v>
      </c>
      <c r="D14" s="26">
        <v>3</v>
      </c>
      <c r="E14" s="68" t="s">
        <v>17</v>
      </c>
      <c r="F14" s="27"/>
      <c r="G14" s="28" t="s">
        <v>33</v>
      </c>
    </row>
    <row r="15" spans="1:7" x14ac:dyDescent="0.3">
      <c r="A15" s="21" t="s">
        <v>34</v>
      </c>
      <c r="B15" s="21">
        <v>0</v>
      </c>
      <c r="C15" s="21" t="s">
        <v>23</v>
      </c>
      <c r="D15" s="26">
        <v>2.5</v>
      </c>
      <c r="E15" s="68" t="s">
        <v>17</v>
      </c>
      <c r="F15" s="27"/>
      <c r="G15" s="28" t="s">
        <v>35</v>
      </c>
    </row>
    <row r="16" spans="1:7" x14ac:dyDescent="0.3">
      <c r="A16" s="21" t="s">
        <v>36</v>
      </c>
      <c r="B16" s="21">
        <v>0</v>
      </c>
      <c r="C16" s="21" t="s">
        <v>28</v>
      </c>
      <c r="D16" s="26">
        <v>3</v>
      </c>
      <c r="E16" s="69" t="s">
        <v>37</v>
      </c>
      <c r="F16" s="27"/>
      <c r="G16" s="28" t="s">
        <v>38</v>
      </c>
    </row>
    <row r="17" spans="1:7" x14ac:dyDescent="0.3">
      <c r="A17" s="21" t="s">
        <v>39</v>
      </c>
      <c r="B17" s="21">
        <v>0</v>
      </c>
      <c r="C17" s="21" t="s">
        <v>40</v>
      </c>
      <c r="D17" s="26">
        <v>3.5</v>
      </c>
      <c r="E17" s="69" t="s">
        <v>37</v>
      </c>
      <c r="F17" s="27"/>
      <c r="G17" s="28" t="s">
        <v>41</v>
      </c>
    </row>
    <row r="18" spans="1:7" x14ac:dyDescent="0.3">
      <c r="A18" s="21" t="s">
        <v>42</v>
      </c>
      <c r="B18" s="21">
        <v>0</v>
      </c>
      <c r="C18" s="21" t="s">
        <v>43</v>
      </c>
      <c r="D18" s="26">
        <v>0.25</v>
      </c>
      <c r="E18" s="67" t="s">
        <v>12</v>
      </c>
      <c r="F18" s="27" t="s">
        <v>44</v>
      </c>
      <c r="G18" s="28" t="s">
        <v>45</v>
      </c>
    </row>
    <row r="19" spans="1:7" x14ac:dyDescent="0.3">
      <c r="A19" s="21" t="s">
        <v>42</v>
      </c>
      <c r="B19" s="21">
        <v>0</v>
      </c>
      <c r="C19" s="21" t="s">
        <v>43</v>
      </c>
      <c r="D19" s="26">
        <v>0.25</v>
      </c>
      <c r="E19" s="67" t="s">
        <v>12</v>
      </c>
      <c r="F19" s="27" t="s">
        <v>46</v>
      </c>
      <c r="G19" s="28" t="s">
        <v>47</v>
      </c>
    </row>
    <row r="20" spans="1:7" x14ac:dyDescent="0.3">
      <c r="A20" s="21" t="s">
        <v>42</v>
      </c>
      <c r="B20" s="21">
        <v>0</v>
      </c>
      <c r="C20" s="21" t="s">
        <v>43</v>
      </c>
      <c r="D20" s="26">
        <v>0.25</v>
      </c>
      <c r="E20" s="67" t="s">
        <v>12</v>
      </c>
      <c r="F20" s="27" t="s">
        <v>48</v>
      </c>
      <c r="G20" s="28" t="s">
        <v>49</v>
      </c>
    </row>
    <row r="21" spans="1:7" x14ac:dyDescent="0.3">
      <c r="A21" s="21" t="s">
        <v>42</v>
      </c>
      <c r="B21" s="21">
        <v>0</v>
      </c>
      <c r="C21" s="21" t="s">
        <v>43</v>
      </c>
      <c r="D21" s="26">
        <v>0.25</v>
      </c>
      <c r="E21" s="67" t="s">
        <v>12</v>
      </c>
      <c r="F21" s="27" t="s">
        <v>50</v>
      </c>
      <c r="G21" s="28" t="s">
        <v>51</v>
      </c>
    </row>
    <row r="22" spans="1:7" x14ac:dyDescent="0.3">
      <c r="A22" s="21" t="s">
        <v>42</v>
      </c>
      <c r="B22" s="21">
        <v>0</v>
      </c>
      <c r="C22" s="21" t="s">
        <v>52</v>
      </c>
      <c r="D22" s="26">
        <v>0.1</v>
      </c>
      <c r="E22" s="67" t="s">
        <v>12</v>
      </c>
      <c r="F22" s="27" t="s">
        <v>53</v>
      </c>
      <c r="G22" s="28" t="s">
        <v>54</v>
      </c>
    </row>
    <row r="23" spans="1:7" x14ac:dyDescent="0.3">
      <c r="A23" s="21" t="s">
        <v>42</v>
      </c>
      <c r="B23" s="21">
        <v>0</v>
      </c>
      <c r="C23" s="21" t="s">
        <v>20</v>
      </c>
      <c r="D23" s="26">
        <v>1</v>
      </c>
      <c r="E23" s="67" t="s">
        <v>12</v>
      </c>
      <c r="F23" s="27"/>
      <c r="G23" s="28" t="s">
        <v>55</v>
      </c>
    </row>
    <row r="24" spans="1:7" x14ac:dyDescent="0.3">
      <c r="A24" s="21" t="s">
        <v>42</v>
      </c>
      <c r="B24" s="21">
        <v>0</v>
      </c>
      <c r="C24" s="21" t="s">
        <v>56</v>
      </c>
      <c r="D24" s="26">
        <v>0.17</v>
      </c>
      <c r="E24" s="67" t="s">
        <v>12</v>
      </c>
      <c r="F24" s="27" t="s">
        <v>57</v>
      </c>
      <c r="G24" s="28" t="s">
        <v>58</v>
      </c>
    </row>
    <row r="25" spans="1:7" x14ac:dyDescent="0.3">
      <c r="A25" s="21" t="s">
        <v>42</v>
      </c>
      <c r="B25" s="21">
        <v>0</v>
      </c>
      <c r="C25" s="21" t="s">
        <v>52</v>
      </c>
      <c r="D25" s="26">
        <v>0.08</v>
      </c>
      <c r="E25" s="67" t="s">
        <v>12</v>
      </c>
      <c r="F25" s="27" t="s">
        <v>59</v>
      </c>
      <c r="G25" s="28" t="s">
        <v>60</v>
      </c>
    </row>
    <row r="26" spans="1:7" x14ac:dyDescent="0.3">
      <c r="A26" s="21" t="s">
        <v>42</v>
      </c>
      <c r="B26" s="21">
        <v>0</v>
      </c>
      <c r="C26" s="21" t="s">
        <v>43</v>
      </c>
      <c r="D26" s="26">
        <v>0.25</v>
      </c>
      <c r="E26" s="67" t="s">
        <v>12</v>
      </c>
      <c r="F26" s="27" t="s">
        <v>61</v>
      </c>
      <c r="G26" s="28" t="s">
        <v>62</v>
      </c>
    </row>
    <row r="27" spans="1:7" x14ac:dyDescent="0.3">
      <c r="A27" s="21" t="s">
        <v>42</v>
      </c>
      <c r="B27" s="21">
        <v>0</v>
      </c>
      <c r="C27" s="21" t="s">
        <v>52</v>
      </c>
      <c r="D27" s="26">
        <v>0.08</v>
      </c>
      <c r="E27" s="67" t="s">
        <v>12</v>
      </c>
      <c r="F27" s="27" t="s">
        <v>63</v>
      </c>
      <c r="G27" s="28" t="s">
        <v>64</v>
      </c>
    </row>
    <row r="28" spans="1:7" x14ac:dyDescent="0.3">
      <c r="A28" s="21" t="s">
        <v>42</v>
      </c>
      <c r="B28" s="21">
        <v>0</v>
      </c>
      <c r="C28" s="21" t="s">
        <v>56</v>
      </c>
      <c r="D28" s="26">
        <v>0.17</v>
      </c>
      <c r="E28" s="67" t="s">
        <v>12</v>
      </c>
      <c r="F28" s="27" t="s">
        <v>65</v>
      </c>
      <c r="G28" s="28" t="s">
        <v>66</v>
      </c>
    </row>
    <row r="29" spans="1:7" x14ac:dyDescent="0.3">
      <c r="A29" s="21" t="s">
        <v>67</v>
      </c>
      <c r="B29" s="21">
        <v>1</v>
      </c>
      <c r="C29" s="21" t="s">
        <v>68</v>
      </c>
      <c r="D29" s="29">
        <v>0.42</v>
      </c>
      <c r="E29" s="68" t="s">
        <v>17</v>
      </c>
      <c r="F29" s="23" t="s">
        <v>69</v>
      </c>
      <c r="G29" s="20" t="s">
        <v>70</v>
      </c>
    </row>
    <row r="30" spans="1:7" x14ac:dyDescent="0.3">
      <c r="A30" s="21" t="s">
        <v>67</v>
      </c>
      <c r="B30" s="21">
        <v>1</v>
      </c>
      <c r="C30" s="21" t="s">
        <v>71</v>
      </c>
      <c r="D30" s="29">
        <v>0.57999999999999996</v>
      </c>
      <c r="E30" s="68" t="s">
        <v>17</v>
      </c>
      <c r="F30" s="23" t="s">
        <v>72</v>
      </c>
      <c r="G30" s="20" t="s">
        <v>73</v>
      </c>
    </row>
    <row r="31" spans="1:7" x14ac:dyDescent="0.3">
      <c r="A31" s="21" t="s">
        <v>67</v>
      </c>
      <c r="B31" s="21">
        <v>1</v>
      </c>
      <c r="C31" s="21" t="s">
        <v>74</v>
      </c>
      <c r="D31" s="29">
        <v>0.5</v>
      </c>
      <c r="E31" s="68" t="s">
        <v>17</v>
      </c>
      <c r="F31" s="23" t="s">
        <v>75</v>
      </c>
      <c r="G31" s="20" t="s">
        <v>76</v>
      </c>
    </row>
    <row r="32" spans="1:7" x14ac:dyDescent="0.3">
      <c r="A32" s="21" t="s">
        <v>77</v>
      </c>
      <c r="B32" s="21">
        <v>1</v>
      </c>
      <c r="C32" s="21" t="s">
        <v>43</v>
      </c>
      <c r="D32" s="29">
        <v>0.25</v>
      </c>
      <c r="E32" s="68" t="s">
        <v>17</v>
      </c>
      <c r="F32" s="23" t="s">
        <v>78</v>
      </c>
      <c r="G32" s="20" t="s">
        <v>79</v>
      </c>
    </row>
    <row r="33" spans="1:7" x14ac:dyDescent="0.3">
      <c r="A33" s="21" t="s">
        <v>77</v>
      </c>
      <c r="B33" s="21">
        <v>1</v>
      </c>
      <c r="C33" s="21" t="s">
        <v>80</v>
      </c>
      <c r="D33" s="29">
        <v>0.33</v>
      </c>
      <c r="E33" s="68" t="s">
        <v>17</v>
      </c>
      <c r="F33" s="23" t="s">
        <v>81</v>
      </c>
      <c r="G33" s="20" t="s">
        <v>82</v>
      </c>
    </row>
    <row r="34" spans="1:7" x14ac:dyDescent="0.3">
      <c r="A34" s="21" t="s">
        <v>77</v>
      </c>
      <c r="B34" s="21">
        <v>1</v>
      </c>
      <c r="C34" s="21" t="s">
        <v>80</v>
      </c>
      <c r="D34" s="29">
        <v>0.33</v>
      </c>
      <c r="E34" s="68" t="s">
        <v>17</v>
      </c>
      <c r="F34" s="23" t="s">
        <v>83</v>
      </c>
      <c r="G34" s="20" t="s">
        <v>84</v>
      </c>
    </row>
    <row r="35" spans="1:7" x14ac:dyDescent="0.3">
      <c r="A35" s="21" t="s">
        <v>77</v>
      </c>
      <c r="B35" s="21">
        <v>1</v>
      </c>
      <c r="C35" s="21" t="s">
        <v>68</v>
      </c>
      <c r="D35" s="29">
        <v>0.42</v>
      </c>
      <c r="E35" s="68" t="s">
        <v>17</v>
      </c>
      <c r="F35" s="23" t="s">
        <v>85</v>
      </c>
      <c r="G35" s="20" t="s">
        <v>86</v>
      </c>
    </row>
    <row r="36" spans="1:7" x14ac:dyDescent="0.3">
      <c r="A36" s="21" t="s">
        <v>77</v>
      </c>
      <c r="B36" s="21">
        <v>1</v>
      </c>
      <c r="C36" s="21" t="s">
        <v>43</v>
      </c>
      <c r="D36" s="29">
        <v>0.25</v>
      </c>
      <c r="E36" s="68" t="s">
        <v>17</v>
      </c>
      <c r="F36" s="23" t="s">
        <v>87</v>
      </c>
      <c r="G36" s="20" t="s">
        <v>88</v>
      </c>
    </row>
    <row r="37" spans="1:7" x14ac:dyDescent="0.3">
      <c r="A37" s="21" t="s">
        <v>77</v>
      </c>
      <c r="B37" s="21">
        <v>1</v>
      </c>
      <c r="C37" s="21" t="s">
        <v>43</v>
      </c>
      <c r="D37" s="29">
        <v>0.25</v>
      </c>
      <c r="E37" s="68" t="s">
        <v>17</v>
      </c>
      <c r="F37" s="23" t="s">
        <v>89</v>
      </c>
      <c r="G37" s="20" t="s">
        <v>90</v>
      </c>
    </row>
    <row r="38" spans="1:7" x14ac:dyDescent="0.3">
      <c r="A38" s="21" t="s">
        <v>77</v>
      </c>
      <c r="B38" s="21">
        <v>1</v>
      </c>
      <c r="C38" s="21" t="s">
        <v>91</v>
      </c>
      <c r="D38" s="29">
        <v>0.67</v>
      </c>
      <c r="E38" s="68" t="s">
        <v>17</v>
      </c>
      <c r="F38" s="23" t="s">
        <v>92</v>
      </c>
      <c r="G38" s="20" t="s">
        <v>277</v>
      </c>
    </row>
    <row r="39" spans="1:7" x14ac:dyDescent="0.3">
      <c r="A39" s="21" t="s">
        <v>77</v>
      </c>
      <c r="B39" s="21" t="s">
        <v>93</v>
      </c>
      <c r="C39" s="21" t="s">
        <v>80</v>
      </c>
      <c r="D39" s="29">
        <v>0.33</v>
      </c>
      <c r="E39" s="70" t="s">
        <v>94</v>
      </c>
      <c r="F39" s="23" t="s">
        <v>95</v>
      </c>
      <c r="G39" s="20" t="s">
        <v>96</v>
      </c>
    </row>
    <row r="40" spans="1:7" x14ac:dyDescent="0.3">
      <c r="A40" s="21" t="s">
        <v>77</v>
      </c>
      <c r="B40" s="21" t="s">
        <v>93</v>
      </c>
      <c r="C40" s="21" t="s">
        <v>80</v>
      </c>
      <c r="D40" s="29">
        <v>0.33</v>
      </c>
      <c r="E40" s="70" t="s">
        <v>94</v>
      </c>
      <c r="F40" s="23" t="s">
        <v>97</v>
      </c>
      <c r="G40" s="20" t="s">
        <v>98</v>
      </c>
    </row>
    <row r="41" spans="1:7" x14ac:dyDescent="0.3">
      <c r="A41" s="21" t="s">
        <v>77</v>
      </c>
      <c r="B41" s="21" t="s">
        <v>93</v>
      </c>
      <c r="C41" s="21" t="s">
        <v>80</v>
      </c>
      <c r="D41" s="29">
        <v>0.33</v>
      </c>
      <c r="E41" s="70" t="s">
        <v>94</v>
      </c>
      <c r="F41" s="23" t="s">
        <v>99</v>
      </c>
      <c r="G41" s="20" t="s">
        <v>100</v>
      </c>
    </row>
    <row r="42" spans="1:7" x14ac:dyDescent="0.3">
      <c r="A42" s="21" t="s">
        <v>77</v>
      </c>
      <c r="B42" s="21" t="s">
        <v>93</v>
      </c>
      <c r="C42" s="21" t="s">
        <v>80</v>
      </c>
      <c r="D42" s="29">
        <v>0.33</v>
      </c>
      <c r="E42" s="70" t="s">
        <v>94</v>
      </c>
      <c r="F42" s="23" t="s">
        <v>101</v>
      </c>
      <c r="G42" s="20" t="s">
        <v>102</v>
      </c>
    </row>
    <row r="43" spans="1:7" x14ac:dyDescent="0.3">
      <c r="A43" s="21" t="s">
        <v>77</v>
      </c>
      <c r="B43" s="21" t="s">
        <v>93</v>
      </c>
      <c r="C43" s="21" t="s">
        <v>80</v>
      </c>
      <c r="D43" s="29">
        <v>0.33</v>
      </c>
      <c r="E43" s="70" t="s">
        <v>94</v>
      </c>
      <c r="F43" s="23" t="s">
        <v>103</v>
      </c>
      <c r="G43" s="20" t="s">
        <v>104</v>
      </c>
    </row>
    <row r="44" spans="1:7" x14ac:dyDescent="0.3">
      <c r="A44" s="21" t="s">
        <v>77</v>
      </c>
      <c r="B44" s="21" t="s">
        <v>93</v>
      </c>
      <c r="C44" s="21" t="s">
        <v>80</v>
      </c>
      <c r="D44" s="29">
        <v>0.33</v>
      </c>
      <c r="E44" s="70" t="s">
        <v>94</v>
      </c>
      <c r="F44" s="23" t="s">
        <v>105</v>
      </c>
      <c r="G44" s="20" t="s">
        <v>106</v>
      </c>
    </row>
    <row r="45" spans="1:7" x14ac:dyDescent="0.3">
      <c r="A45" s="21" t="s">
        <v>77</v>
      </c>
      <c r="B45" s="21" t="s">
        <v>93</v>
      </c>
      <c r="C45" s="21" t="s">
        <v>80</v>
      </c>
      <c r="D45" s="29">
        <v>0.33</v>
      </c>
      <c r="E45" s="70" t="s">
        <v>94</v>
      </c>
      <c r="F45" s="23" t="s">
        <v>107</v>
      </c>
      <c r="G45" s="20" t="s">
        <v>108</v>
      </c>
    </row>
    <row r="46" spans="1:7" x14ac:dyDescent="0.3">
      <c r="A46" s="21" t="s">
        <v>77</v>
      </c>
      <c r="B46" s="21" t="s">
        <v>93</v>
      </c>
      <c r="C46" s="21" t="s">
        <v>80</v>
      </c>
      <c r="D46" s="29">
        <v>0.33</v>
      </c>
      <c r="E46" s="70" t="s">
        <v>94</v>
      </c>
      <c r="F46" s="23" t="s">
        <v>109</v>
      </c>
      <c r="G46" s="20" t="s">
        <v>110</v>
      </c>
    </row>
    <row r="47" spans="1:7" x14ac:dyDescent="0.3">
      <c r="A47" s="21" t="s">
        <v>77</v>
      </c>
      <c r="B47" s="21" t="s">
        <v>93</v>
      </c>
      <c r="C47" s="21" t="s">
        <v>56</v>
      </c>
      <c r="D47" s="29">
        <v>0.17</v>
      </c>
      <c r="E47" s="70" t="s">
        <v>94</v>
      </c>
      <c r="F47" s="23" t="s">
        <v>111</v>
      </c>
      <c r="G47" s="20" t="s">
        <v>112</v>
      </c>
    </row>
    <row r="48" spans="1:7" x14ac:dyDescent="0.3">
      <c r="A48" s="21" t="s">
        <v>77</v>
      </c>
      <c r="B48" s="21" t="s">
        <v>93</v>
      </c>
      <c r="C48" s="21" t="s">
        <v>43</v>
      </c>
      <c r="D48" s="29">
        <v>0.25</v>
      </c>
      <c r="E48" s="70" t="s">
        <v>113</v>
      </c>
      <c r="F48" s="23" t="s">
        <v>114</v>
      </c>
      <c r="G48" s="20" t="s">
        <v>115</v>
      </c>
    </row>
    <row r="49" spans="1:7" x14ac:dyDescent="0.3">
      <c r="A49" s="21" t="s">
        <v>77</v>
      </c>
      <c r="B49" s="21" t="s">
        <v>93</v>
      </c>
      <c r="C49" s="21" t="s">
        <v>56</v>
      </c>
      <c r="D49" s="29">
        <v>0.17</v>
      </c>
      <c r="E49" s="70" t="s">
        <v>113</v>
      </c>
      <c r="F49" s="23" t="s">
        <v>116</v>
      </c>
      <c r="G49" s="20" t="s">
        <v>117</v>
      </c>
    </row>
    <row r="50" spans="1:7" x14ac:dyDescent="0.3">
      <c r="A50" s="21" t="s">
        <v>77</v>
      </c>
      <c r="B50" s="21" t="s">
        <v>93</v>
      </c>
      <c r="C50" s="21" t="s">
        <v>43</v>
      </c>
      <c r="D50" s="29">
        <v>0.25</v>
      </c>
      <c r="E50" s="70" t="s">
        <v>113</v>
      </c>
      <c r="F50" s="23" t="s">
        <v>118</v>
      </c>
      <c r="G50" s="20" t="s">
        <v>119</v>
      </c>
    </row>
    <row r="51" spans="1:7" x14ac:dyDescent="0.3">
      <c r="A51" s="21" t="s">
        <v>120</v>
      </c>
      <c r="B51" s="21" t="s">
        <v>93</v>
      </c>
      <c r="C51" s="27" t="s">
        <v>74</v>
      </c>
      <c r="D51" s="29">
        <v>0.5</v>
      </c>
      <c r="E51" s="70" t="s">
        <v>121</v>
      </c>
      <c r="F51" s="23" t="s">
        <v>122</v>
      </c>
      <c r="G51" s="20" t="s">
        <v>123</v>
      </c>
    </row>
    <row r="52" spans="1:7" x14ac:dyDescent="0.3">
      <c r="A52" s="21" t="s">
        <v>120</v>
      </c>
      <c r="B52" s="21" t="s">
        <v>93</v>
      </c>
      <c r="C52" s="27" t="s">
        <v>74</v>
      </c>
      <c r="D52" s="29">
        <v>0.5</v>
      </c>
      <c r="E52" s="70" t="s">
        <v>121</v>
      </c>
      <c r="F52" s="23" t="s">
        <v>124</v>
      </c>
      <c r="G52" s="20" t="s">
        <v>125</v>
      </c>
    </row>
    <row r="53" spans="1:7" x14ac:dyDescent="0.3">
      <c r="A53" s="21" t="s">
        <v>120</v>
      </c>
      <c r="B53" s="21" t="s">
        <v>93</v>
      </c>
      <c r="C53" s="27" t="s">
        <v>74</v>
      </c>
      <c r="D53" s="29">
        <v>0.5</v>
      </c>
      <c r="E53" s="70" t="s">
        <v>121</v>
      </c>
      <c r="F53" s="23" t="s">
        <v>126</v>
      </c>
      <c r="G53" s="20" t="s">
        <v>127</v>
      </c>
    </row>
    <row r="54" spans="1:7" x14ac:dyDescent="0.3">
      <c r="A54" s="21" t="s">
        <v>120</v>
      </c>
      <c r="B54" s="23" t="s">
        <v>93</v>
      </c>
      <c r="C54" s="27" t="s">
        <v>128</v>
      </c>
      <c r="D54" s="29">
        <v>0.75</v>
      </c>
      <c r="E54" s="70" t="s">
        <v>121</v>
      </c>
      <c r="F54" s="23" t="s">
        <v>129</v>
      </c>
      <c r="G54" s="20" t="s">
        <v>130</v>
      </c>
    </row>
    <row r="55" spans="1:7" x14ac:dyDescent="0.3">
      <c r="A55" s="23" t="s">
        <v>120</v>
      </c>
      <c r="B55" s="23" t="s">
        <v>93</v>
      </c>
      <c r="C55" s="27" t="s">
        <v>74</v>
      </c>
      <c r="D55" s="29">
        <v>0.5</v>
      </c>
      <c r="E55" s="70" t="s">
        <v>121</v>
      </c>
      <c r="F55" s="23" t="s">
        <v>131</v>
      </c>
      <c r="G55" s="20" t="s">
        <v>132</v>
      </c>
    </row>
    <row r="56" spans="1:7" x14ac:dyDescent="0.3">
      <c r="A56" s="23" t="s">
        <v>120</v>
      </c>
      <c r="B56" s="23" t="s">
        <v>93</v>
      </c>
      <c r="C56" s="27" t="s">
        <v>80</v>
      </c>
      <c r="D56" s="29">
        <v>0.33</v>
      </c>
      <c r="E56" s="70" t="s">
        <v>121</v>
      </c>
      <c r="F56" s="23" t="s">
        <v>133</v>
      </c>
      <c r="G56" s="20" t="s">
        <v>134</v>
      </c>
    </row>
    <row r="57" spans="1:7" x14ac:dyDescent="0.3">
      <c r="A57" s="23" t="s">
        <v>120</v>
      </c>
      <c r="B57" s="23" t="s">
        <v>93</v>
      </c>
      <c r="C57" s="23" t="s">
        <v>52</v>
      </c>
      <c r="D57" s="26">
        <v>0.1</v>
      </c>
      <c r="E57" s="70" t="s">
        <v>121</v>
      </c>
      <c r="F57" s="23" t="s">
        <v>135</v>
      </c>
      <c r="G57" s="20" t="s">
        <v>136</v>
      </c>
    </row>
    <row r="58" spans="1:7" x14ac:dyDescent="0.3">
      <c r="A58" s="74" t="s">
        <v>245</v>
      </c>
      <c r="B58" s="74" t="s">
        <v>93</v>
      </c>
      <c r="C58" s="74" t="s">
        <v>128</v>
      </c>
      <c r="D58" s="74">
        <v>0.75</v>
      </c>
      <c r="E58" s="72" t="s">
        <v>206</v>
      </c>
      <c r="F58" s="74" t="s">
        <v>246</v>
      </c>
      <c r="G58" s="75" t="s">
        <v>247</v>
      </c>
    </row>
    <row r="59" spans="1:7" x14ac:dyDescent="0.3">
      <c r="A59" s="74" t="s">
        <v>245</v>
      </c>
      <c r="B59" s="74" t="s">
        <v>93</v>
      </c>
      <c r="C59" s="74" t="s">
        <v>20</v>
      </c>
      <c r="D59" s="74">
        <v>1</v>
      </c>
      <c r="E59" s="72" t="s">
        <v>206</v>
      </c>
      <c r="F59" s="74" t="s">
        <v>248</v>
      </c>
      <c r="G59" s="75" t="s">
        <v>249</v>
      </c>
    </row>
    <row r="60" spans="1:7" x14ac:dyDescent="0.3">
      <c r="A60" s="74" t="s">
        <v>245</v>
      </c>
      <c r="B60" s="74" t="s">
        <v>93</v>
      </c>
      <c r="C60" s="74" t="s">
        <v>14</v>
      </c>
      <c r="D60" s="74">
        <v>1.5</v>
      </c>
      <c r="E60" s="72" t="s">
        <v>206</v>
      </c>
      <c r="F60" s="74" t="s">
        <v>250</v>
      </c>
      <c r="G60" s="75" t="s">
        <v>251</v>
      </c>
    </row>
    <row r="61" spans="1:7" x14ac:dyDescent="0.3">
      <c r="A61" s="74" t="s">
        <v>245</v>
      </c>
      <c r="B61" s="74" t="s">
        <v>93</v>
      </c>
      <c r="C61" s="74" t="s">
        <v>128</v>
      </c>
      <c r="D61" s="74">
        <v>0.75</v>
      </c>
      <c r="E61" s="72" t="s">
        <v>206</v>
      </c>
      <c r="F61" s="74" t="s">
        <v>252</v>
      </c>
      <c r="G61" s="75" t="s">
        <v>253</v>
      </c>
    </row>
    <row r="62" spans="1:7" x14ac:dyDescent="0.3">
      <c r="A62" s="74" t="s">
        <v>254</v>
      </c>
      <c r="B62" s="74" t="s">
        <v>93</v>
      </c>
      <c r="C62" s="74" t="s">
        <v>128</v>
      </c>
      <c r="D62" s="74">
        <v>0.75</v>
      </c>
      <c r="E62" s="72" t="s">
        <v>206</v>
      </c>
      <c r="F62" s="74" t="s">
        <v>255</v>
      </c>
      <c r="G62" s="75" t="s">
        <v>256</v>
      </c>
    </row>
    <row r="63" spans="1:7" x14ac:dyDescent="0.3">
      <c r="A63" s="74" t="s">
        <v>254</v>
      </c>
      <c r="B63" s="74" t="s">
        <v>93</v>
      </c>
      <c r="C63" s="74" t="s">
        <v>43</v>
      </c>
      <c r="D63" s="74">
        <v>0.25</v>
      </c>
      <c r="E63" s="72" t="s">
        <v>206</v>
      </c>
      <c r="F63" s="74" t="s">
        <v>257</v>
      </c>
      <c r="G63" s="75" t="s">
        <v>258</v>
      </c>
    </row>
    <row r="64" spans="1:7" x14ac:dyDescent="0.3">
      <c r="A64" s="74" t="s">
        <v>254</v>
      </c>
      <c r="B64" s="74" t="s">
        <v>93</v>
      </c>
      <c r="C64" s="74" t="s">
        <v>74</v>
      </c>
      <c r="D64" s="74">
        <v>0.5</v>
      </c>
      <c r="E64" s="72" t="s">
        <v>206</v>
      </c>
      <c r="F64" s="74" t="s">
        <v>259</v>
      </c>
      <c r="G64" s="75" t="s">
        <v>260</v>
      </c>
    </row>
    <row r="65" spans="1:7" x14ac:dyDescent="0.3">
      <c r="A65" s="74" t="s">
        <v>254</v>
      </c>
      <c r="B65" s="74" t="s">
        <v>93</v>
      </c>
      <c r="C65" s="74" t="s">
        <v>74</v>
      </c>
      <c r="D65" s="74">
        <v>0.5</v>
      </c>
      <c r="E65" s="72" t="s">
        <v>206</v>
      </c>
      <c r="F65" s="74" t="s">
        <v>261</v>
      </c>
      <c r="G65" s="75" t="s">
        <v>262</v>
      </c>
    </row>
    <row r="66" spans="1:7" x14ac:dyDescent="0.3">
      <c r="A66" s="74" t="s">
        <v>254</v>
      </c>
      <c r="B66" s="74" t="s">
        <v>93</v>
      </c>
      <c r="C66" s="74" t="s">
        <v>74</v>
      </c>
      <c r="D66" s="74">
        <v>0.5</v>
      </c>
      <c r="E66" s="73" t="s">
        <v>207</v>
      </c>
      <c r="F66" s="74" t="s">
        <v>263</v>
      </c>
      <c r="G66" s="75" t="s">
        <v>264</v>
      </c>
    </row>
    <row r="67" spans="1:7" x14ac:dyDescent="0.3">
      <c r="A67" s="74" t="s">
        <v>254</v>
      </c>
      <c r="B67" s="74" t="s">
        <v>93</v>
      </c>
      <c r="C67" s="74" t="s">
        <v>56</v>
      </c>
      <c r="D67" s="74">
        <v>0.17</v>
      </c>
      <c r="E67" s="73" t="s">
        <v>207</v>
      </c>
      <c r="F67" s="74" t="s">
        <v>265</v>
      </c>
      <c r="G67" s="75" t="s">
        <v>266</v>
      </c>
    </row>
    <row r="68" spans="1:7" x14ac:dyDescent="0.3">
      <c r="A68" s="74" t="s">
        <v>254</v>
      </c>
      <c r="B68" s="74" t="s">
        <v>93</v>
      </c>
      <c r="C68" s="74" t="s">
        <v>56</v>
      </c>
      <c r="D68" s="74">
        <v>0.17</v>
      </c>
      <c r="E68" s="73" t="s">
        <v>207</v>
      </c>
      <c r="F68" s="74" t="s">
        <v>267</v>
      </c>
      <c r="G68" s="75" t="s">
        <v>268</v>
      </c>
    </row>
    <row r="69" spans="1:7" x14ac:dyDescent="0.3">
      <c r="A69" s="74" t="s">
        <v>254</v>
      </c>
      <c r="B69" s="74" t="s">
        <v>93</v>
      </c>
      <c r="C69" s="74" t="s">
        <v>56</v>
      </c>
      <c r="D69" s="74">
        <v>0.17</v>
      </c>
      <c r="E69" s="73" t="s">
        <v>207</v>
      </c>
      <c r="F69" s="74" t="s">
        <v>269</v>
      </c>
      <c r="G69" s="75" t="s">
        <v>270</v>
      </c>
    </row>
    <row r="70" spans="1:7" x14ac:dyDescent="0.3">
      <c r="A70" s="74" t="s">
        <v>254</v>
      </c>
      <c r="B70" s="74" t="s">
        <v>93</v>
      </c>
      <c r="C70" s="74" t="s">
        <v>56</v>
      </c>
      <c r="D70" s="74">
        <v>0.17</v>
      </c>
      <c r="E70" s="73" t="s">
        <v>207</v>
      </c>
      <c r="F70" s="74" t="s">
        <v>271</v>
      </c>
      <c r="G70" s="75" t="s">
        <v>272</v>
      </c>
    </row>
    <row r="71" spans="1:7" x14ac:dyDescent="0.3">
      <c r="A71" s="74" t="s">
        <v>254</v>
      </c>
      <c r="B71" s="74" t="s">
        <v>93</v>
      </c>
      <c r="C71" s="74" t="s">
        <v>56</v>
      </c>
      <c r="D71" s="74">
        <v>0.17</v>
      </c>
      <c r="E71" s="73" t="s">
        <v>207</v>
      </c>
      <c r="F71" s="74" t="s">
        <v>273</v>
      </c>
      <c r="G71" s="75" t="s">
        <v>274</v>
      </c>
    </row>
    <row r="72" spans="1:7" x14ac:dyDescent="0.3">
      <c r="A72" s="74" t="s">
        <v>254</v>
      </c>
      <c r="B72" s="74" t="s">
        <v>93</v>
      </c>
      <c r="C72" s="74" t="s">
        <v>43</v>
      </c>
      <c r="D72" s="74">
        <v>0.25</v>
      </c>
      <c r="E72" s="73" t="s">
        <v>207</v>
      </c>
      <c r="F72" s="74" t="s">
        <v>275</v>
      </c>
      <c r="G72" s="75" t="s">
        <v>276</v>
      </c>
    </row>
    <row r="73" spans="1:7" x14ac:dyDescent="0.3">
      <c r="A73" s="21" t="s">
        <v>278</v>
      </c>
      <c r="B73" s="21" t="s">
        <v>279</v>
      </c>
      <c r="C73" s="21" t="s">
        <v>56</v>
      </c>
      <c r="D73" s="21">
        <v>0.17</v>
      </c>
      <c r="E73" s="79" t="s">
        <v>208</v>
      </c>
      <c r="F73" s="21" t="s">
        <v>283</v>
      </c>
      <c r="G73" s="78" t="s">
        <v>284</v>
      </c>
    </row>
    <row r="74" spans="1:7" x14ac:dyDescent="0.3">
      <c r="A74" s="21" t="s">
        <v>278</v>
      </c>
      <c r="B74" s="21" t="s">
        <v>279</v>
      </c>
      <c r="C74" s="21" t="s">
        <v>52</v>
      </c>
      <c r="D74" s="21">
        <v>0.08</v>
      </c>
      <c r="E74" s="79" t="s">
        <v>208</v>
      </c>
      <c r="F74" s="21" t="s">
        <v>285</v>
      </c>
      <c r="G74" s="78" t="s">
        <v>286</v>
      </c>
    </row>
    <row r="75" spans="1:7" x14ac:dyDescent="0.3">
      <c r="A75" s="21" t="s">
        <v>278</v>
      </c>
      <c r="B75" s="21" t="s">
        <v>279</v>
      </c>
      <c r="C75" s="21" t="s">
        <v>74</v>
      </c>
      <c r="D75" s="21">
        <v>0.5</v>
      </c>
      <c r="E75" s="79" t="s">
        <v>208</v>
      </c>
      <c r="F75" s="21" t="s">
        <v>287</v>
      </c>
      <c r="G75" s="78" t="s">
        <v>288</v>
      </c>
    </row>
    <row r="76" spans="1:7" x14ac:dyDescent="0.3">
      <c r="A76" s="21" t="s">
        <v>278</v>
      </c>
      <c r="B76" s="21" t="s">
        <v>279</v>
      </c>
      <c r="C76" s="21" t="s">
        <v>20</v>
      </c>
      <c r="D76" s="21">
        <v>1</v>
      </c>
      <c r="E76" s="79" t="s">
        <v>208</v>
      </c>
      <c r="F76" s="21" t="s">
        <v>289</v>
      </c>
      <c r="G76" s="78" t="s">
        <v>290</v>
      </c>
    </row>
    <row r="77" spans="1:7" x14ac:dyDescent="0.3">
      <c r="A77" s="21" t="s">
        <v>278</v>
      </c>
      <c r="B77" s="21" t="s">
        <v>279</v>
      </c>
      <c r="C77" s="21" t="s">
        <v>80</v>
      </c>
      <c r="D77" s="21">
        <v>0.33</v>
      </c>
      <c r="E77" s="79" t="s">
        <v>208</v>
      </c>
      <c r="F77" s="21" t="s">
        <v>291</v>
      </c>
      <c r="G77" s="78" t="s">
        <v>292</v>
      </c>
    </row>
    <row r="78" spans="1:7" x14ac:dyDescent="0.3">
      <c r="A78" s="21" t="s">
        <v>280</v>
      </c>
      <c r="B78" s="21" t="s">
        <v>279</v>
      </c>
      <c r="C78" s="21" t="s">
        <v>74</v>
      </c>
      <c r="D78" s="21">
        <v>0.5</v>
      </c>
      <c r="E78" s="79" t="s">
        <v>209</v>
      </c>
      <c r="F78" s="21" t="s">
        <v>293</v>
      </c>
      <c r="G78" s="78" t="s">
        <v>294</v>
      </c>
    </row>
    <row r="79" spans="1:7" x14ac:dyDescent="0.3">
      <c r="A79" s="21" t="s">
        <v>280</v>
      </c>
      <c r="B79" s="21" t="s">
        <v>279</v>
      </c>
      <c r="C79" s="21" t="s">
        <v>20</v>
      </c>
      <c r="D79" s="21">
        <v>1</v>
      </c>
      <c r="E79" s="79" t="s">
        <v>209</v>
      </c>
      <c r="F79" s="21" t="s">
        <v>295</v>
      </c>
      <c r="G79" s="78" t="s">
        <v>296</v>
      </c>
    </row>
    <row r="80" spans="1:7" x14ac:dyDescent="0.3">
      <c r="A80" s="21" t="s">
        <v>280</v>
      </c>
      <c r="B80" s="21" t="s">
        <v>279</v>
      </c>
      <c r="C80" s="21" t="s">
        <v>128</v>
      </c>
      <c r="D80" s="21">
        <v>0.75</v>
      </c>
      <c r="E80" s="79" t="s">
        <v>209</v>
      </c>
      <c r="F80" s="21" t="s">
        <v>297</v>
      </c>
      <c r="G80" s="78" t="s">
        <v>298</v>
      </c>
    </row>
    <row r="81" spans="1:7" x14ac:dyDescent="0.3">
      <c r="A81" s="21" t="s">
        <v>280</v>
      </c>
      <c r="B81" s="21" t="s">
        <v>279</v>
      </c>
      <c r="C81" s="21" t="s">
        <v>74</v>
      </c>
      <c r="D81" s="21">
        <v>0.5</v>
      </c>
      <c r="E81" s="79" t="s">
        <v>209</v>
      </c>
      <c r="F81" s="21" t="s">
        <v>299</v>
      </c>
      <c r="G81" s="78" t="s">
        <v>300</v>
      </c>
    </row>
    <row r="82" spans="1:7" x14ac:dyDescent="0.3">
      <c r="A82" s="21" t="s">
        <v>281</v>
      </c>
      <c r="B82" s="21" t="s">
        <v>279</v>
      </c>
      <c r="C82" s="21" t="s">
        <v>11</v>
      </c>
      <c r="D82" s="21">
        <v>2</v>
      </c>
      <c r="E82" s="79" t="s">
        <v>210</v>
      </c>
      <c r="F82" s="21" t="s">
        <v>301</v>
      </c>
      <c r="G82" s="78" t="s">
        <v>302</v>
      </c>
    </row>
    <row r="83" spans="1:7" x14ac:dyDescent="0.3">
      <c r="A83" s="21" t="s">
        <v>281</v>
      </c>
      <c r="B83" s="21" t="s">
        <v>279</v>
      </c>
      <c r="C83" s="21" t="s">
        <v>74</v>
      </c>
      <c r="D83" s="21">
        <v>0.5</v>
      </c>
      <c r="E83" s="79" t="s">
        <v>210</v>
      </c>
      <c r="F83" s="21" t="s">
        <v>303</v>
      </c>
      <c r="G83" s="78" t="s">
        <v>304</v>
      </c>
    </row>
    <row r="84" spans="1:7" x14ac:dyDescent="0.3">
      <c r="A84" s="21" t="s">
        <v>281</v>
      </c>
      <c r="B84" s="21" t="s">
        <v>279</v>
      </c>
      <c r="C84" s="21" t="s">
        <v>128</v>
      </c>
      <c r="D84" s="21">
        <v>0.75</v>
      </c>
      <c r="E84" s="79" t="s">
        <v>210</v>
      </c>
      <c r="F84" s="21" t="s">
        <v>305</v>
      </c>
      <c r="G84" s="78" t="s">
        <v>306</v>
      </c>
    </row>
    <row r="85" spans="1:7" x14ac:dyDescent="0.3">
      <c r="A85" s="21" t="s">
        <v>281</v>
      </c>
      <c r="B85" s="21" t="s">
        <v>279</v>
      </c>
      <c r="C85" s="21" t="s">
        <v>20</v>
      </c>
      <c r="D85" s="21">
        <v>1</v>
      </c>
      <c r="E85" s="79" t="s">
        <v>210</v>
      </c>
      <c r="F85" s="21" t="s">
        <v>307</v>
      </c>
      <c r="G85" s="78" t="s">
        <v>308</v>
      </c>
    </row>
    <row r="86" spans="1:7" x14ac:dyDescent="0.3">
      <c r="A86" s="21" t="s">
        <v>282</v>
      </c>
      <c r="B86" s="21" t="s">
        <v>279</v>
      </c>
      <c r="C86" s="21" t="s">
        <v>20</v>
      </c>
      <c r="D86" s="21">
        <v>1</v>
      </c>
      <c r="E86" s="79" t="s">
        <v>210</v>
      </c>
      <c r="F86" s="21" t="s">
        <v>309</v>
      </c>
      <c r="G86" s="78" t="s">
        <v>310</v>
      </c>
    </row>
    <row r="87" spans="1:7" x14ac:dyDescent="0.3">
      <c r="A87" s="21" t="s">
        <v>282</v>
      </c>
      <c r="B87" s="21" t="s">
        <v>279</v>
      </c>
      <c r="C87" s="21" t="s">
        <v>20</v>
      </c>
      <c r="D87" s="21">
        <v>1</v>
      </c>
      <c r="E87" s="79" t="s">
        <v>210</v>
      </c>
      <c r="F87" s="21" t="s">
        <v>311</v>
      </c>
      <c r="G87" s="78" t="s">
        <v>312</v>
      </c>
    </row>
    <row r="88" spans="1:7" x14ac:dyDescent="0.3">
      <c r="A88" s="21" t="s">
        <v>282</v>
      </c>
      <c r="B88" s="21" t="s">
        <v>279</v>
      </c>
      <c r="C88" s="21" t="s">
        <v>11</v>
      </c>
      <c r="D88" s="21">
        <v>2</v>
      </c>
      <c r="E88" s="79" t="s">
        <v>210</v>
      </c>
      <c r="F88" s="21" t="s">
        <v>313</v>
      </c>
      <c r="G88" s="78" t="s">
        <v>314</v>
      </c>
    </row>
    <row r="89" spans="1:7" x14ac:dyDescent="0.3">
      <c r="A89" s="21" t="s">
        <v>282</v>
      </c>
      <c r="B89" s="21" t="s">
        <v>279</v>
      </c>
      <c r="C89" s="21" t="s">
        <v>74</v>
      </c>
      <c r="D89" s="21">
        <v>0.5</v>
      </c>
      <c r="E89" s="79" t="s">
        <v>210</v>
      </c>
      <c r="F89" s="21" t="s">
        <v>315</v>
      </c>
      <c r="G89" s="78" t="s">
        <v>316</v>
      </c>
    </row>
    <row r="90" spans="1:7" x14ac:dyDescent="0.3">
      <c r="A90" s="21" t="s">
        <v>282</v>
      </c>
      <c r="B90" s="21" t="s">
        <v>279</v>
      </c>
      <c r="C90" s="21" t="s">
        <v>43</v>
      </c>
      <c r="D90" s="21">
        <v>0.25</v>
      </c>
      <c r="E90" s="79" t="s">
        <v>210</v>
      </c>
      <c r="F90" s="21" t="s">
        <v>317</v>
      </c>
      <c r="G90" s="78" t="s">
        <v>318</v>
      </c>
    </row>
    <row r="91" spans="1:7" x14ac:dyDescent="0.3">
      <c r="A91" s="21" t="s">
        <v>319</v>
      </c>
      <c r="B91" s="21" t="s">
        <v>279</v>
      </c>
      <c r="C91" s="21" t="s">
        <v>20</v>
      </c>
      <c r="D91" s="21">
        <v>1</v>
      </c>
      <c r="E91" s="79" t="s">
        <v>211</v>
      </c>
      <c r="F91" s="21" t="s">
        <v>322</v>
      </c>
      <c r="G91" s="78" t="s">
        <v>323</v>
      </c>
    </row>
    <row r="92" spans="1:7" x14ac:dyDescent="0.3">
      <c r="A92" s="21" t="s">
        <v>319</v>
      </c>
      <c r="B92" s="21" t="s">
        <v>279</v>
      </c>
      <c r="C92" s="21" t="s">
        <v>14</v>
      </c>
      <c r="D92" s="21">
        <v>1.5</v>
      </c>
      <c r="E92" s="79" t="s">
        <v>211</v>
      </c>
      <c r="F92" s="21" t="s">
        <v>324</v>
      </c>
      <c r="G92" s="78" t="s">
        <v>325</v>
      </c>
    </row>
    <row r="93" spans="1:7" x14ac:dyDescent="0.3">
      <c r="A93" s="21" t="s">
        <v>319</v>
      </c>
      <c r="B93" s="21" t="s">
        <v>279</v>
      </c>
      <c r="C93" s="21" t="s">
        <v>80</v>
      </c>
      <c r="D93" s="21">
        <v>0.33</v>
      </c>
      <c r="E93" s="79" t="s">
        <v>211</v>
      </c>
      <c r="F93" s="21" t="s">
        <v>326</v>
      </c>
      <c r="G93" s="78" t="s">
        <v>327</v>
      </c>
    </row>
    <row r="94" spans="1:7" x14ac:dyDescent="0.3">
      <c r="A94" s="21" t="s">
        <v>319</v>
      </c>
      <c r="B94" s="21" t="s">
        <v>279</v>
      </c>
      <c r="C94" s="21" t="s">
        <v>128</v>
      </c>
      <c r="D94" s="21">
        <v>0.75</v>
      </c>
      <c r="E94" s="79" t="s">
        <v>211</v>
      </c>
      <c r="F94" s="21" t="s">
        <v>328</v>
      </c>
      <c r="G94" s="78" t="s">
        <v>329</v>
      </c>
    </row>
    <row r="95" spans="1:7" x14ac:dyDescent="0.3">
      <c r="A95" s="21" t="s">
        <v>319</v>
      </c>
      <c r="B95" s="21" t="s">
        <v>279</v>
      </c>
      <c r="C95" s="21" t="s">
        <v>11</v>
      </c>
      <c r="D95" s="21">
        <v>2</v>
      </c>
      <c r="E95" s="79" t="s">
        <v>211</v>
      </c>
      <c r="F95" s="21" t="s">
        <v>330</v>
      </c>
      <c r="G95" s="78" t="s">
        <v>331</v>
      </c>
    </row>
    <row r="96" spans="1:7" x14ac:dyDescent="0.3">
      <c r="A96" s="21" t="s">
        <v>320</v>
      </c>
      <c r="B96" s="21" t="s">
        <v>279</v>
      </c>
      <c r="C96" s="21" t="s">
        <v>20</v>
      </c>
      <c r="D96" s="21">
        <v>1</v>
      </c>
      <c r="E96" s="79" t="s">
        <v>211</v>
      </c>
      <c r="F96" s="21" t="s">
        <v>332</v>
      </c>
      <c r="G96" s="78" t="s">
        <v>371</v>
      </c>
    </row>
    <row r="97" spans="1:7" x14ac:dyDescent="0.3">
      <c r="A97" s="21" t="s">
        <v>320</v>
      </c>
      <c r="B97" s="21" t="s">
        <v>279</v>
      </c>
      <c r="C97" s="21" t="s">
        <v>128</v>
      </c>
      <c r="D97" s="21">
        <v>0.75</v>
      </c>
      <c r="E97" s="79" t="s">
        <v>211</v>
      </c>
      <c r="F97" s="21" t="s">
        <v>333</v>
      </c>
      <c r="G97" s="78" t="s">
        <v>334</v>
      </c>
    </row>
    <row r="98" spans="1:7" x14ac:dyDescent="0.3">
      <c r="A98" s="21" t="s">
        <v>320</v>
      </c>
      <c r="B98" s="21" t="s">
        <v>279</v>
      </c>
      <c r="C98" s="21" t="s">
        <v>74</v>
      </c>
      <c r="D98" s="21">
        <v>0.5</v>
      </c>
      <c r="E98" s="79" t="s">
        <v>211</v>
      </c>
      <c r="F98" s="21" t="s">
        <v>335</v>
      </c>
      <c r="G98" s="78" t="s">
        <v>336</v>
      </c>
    </row>
    <row r="99" spans="1:7" x14ac:dyDescent="0.3">
      <c r="A99" s="21" t="s">
        <v>320</v>
      </c>
      <c r="B99" s="21" t="s">
        <v>279</v>
      </c>
      <c r="C99" s="21" t="s">
        <v>128</v>
      </c>
      <c r="D99" s="21">
        <v>0.75</v>
      </c>
      <c r="E99" s="79" t="s">
        <v>211</v>
      </c>
      <c r="F99" s="21" t="s">
        <v>337</v>
      </c>
      <c r="G99" s="78" t="s">
        <v>338</v>
      </c>
    </row>
    <row r="100" spans="1:7" x14ac:dyDescent="0.3">
      <c r="A100" s="21" t="s">
        <v>320</v>
      </c>
      <c r="B100" s="21" t="s">
        <v>279</v>
      </c>
      <c r="C100" s="21" t="s">
        <v>43</v>
      </c>
      <c r="D100" s="21">
        <v>0.25</v>
      </c>
      <c r="E100" s="79" t="s">
        <v>211</v>
      </c>
      <c r="F100" s="21" t="s">
        <v>339</v>
      </c>
      <c r="G100" s="78" t="s">
        <v>372</v>
      </c>
    </row>
    <row r="101" spans="1:7" x14ac:dyDescent="0.3">
      <c r="A101" s="21" t="s">
        <v>320</v>
      </c>
      <c r="B101" s="21" t="s">
        <v>279</v>
      </c>
      <c r="C101" s="21" t="s">
        <v>43</v>
      </c>
      <c r="D101" s="21">
        <v>0.25</v>
      </c>
      <c r="E101" s="79" t="s">
        <v>211</v>
      </c>
      <c r="F101" s="21" t="s">
        <v>340</v>
      </c>
      <c r="G101" s="78" t="s">
        <v>373</v>
      </c>
    </row>
    <row r="102" spans="1:7" x14ac:dyDescent="0.3">
      <c r="A102" s="21" t="s">
        <v>320</v>
      </c>
      <c r="B102" s="21" t="s">
        <v>279</v>
      </c>
      <c r="C102" s="21" t="s">
        <v>43</v>
      </c>
      <c r="D102" s="21">
        <v>0.25</v>
      </c>
      <c r="E102" s="79" t="s">
        <v>211</v>
      </c>
      <c r="F102" s="21" t="s">
        <v>341</v>
      </c>
      <c r="G102" s="78" t="s">
        <v>342</v>
      </c>
    </row>
    <row r="103" spans="1:7" x14ac:dyDescent="0.3">
      <c r="A103" s="21" t="s">
        <v>320</v>
      </c>
      <c r="B103" s="21" t="s">
        <v>279</v>
      </c>
      <c r="C103" s="21" t="s">
        <v>74</v>
      </c>
      <c r="D103" s="21">
        <v>0.5</v>
      </c>
      <c r="E103" s="79" t="s">
        <v>211</v>
      </c>
      <c r="F103" s="21" t="s">
        <v>343</v>
      </c>
      <c r="G103" s="78" t="s">
        <v>344</v>
      </c>
    </row>
    <row r="104" spans="1:7" x14ac:dyDescent="0.3">
      <c r="A104" s="21" t="s">
        <v>320</v>
      </c>
      <c r="B104" s="21" t="s">
        <v>279</v>
      </c>
      <c r="C104" s="21" t="s">
        <v>80</v>
      </c>
      <c r="D104" s="21">
        <v>0.33</v>
      </c>
      <c r="E104" s="79" t="s">
        <v>211</v>
      </c>
      <c r="F104" s="21" t="s">
        <v>345</v>
      </c>
      <c r="G104" s="78" t="s">
        <v>374</v>
      </c>
    </row>
    <row r="105" spans="1:7" x14ac:dyDescent="0.3">
      <c r="A105" s="21" t="s">
        <v>320</v>
      </c>
      <c r="B105" s="21" t="s">
        <v>279</v>
      </c>
      <c r="C105" s="21" t="s">
        <v>43</v>
      </c>
      <c r="D105" s="21">
        <v>0.25</v>
      </c>
      <c r="E105" s="79" t="s">
        <v>211</v>
      </c>
      <c r="F105" s="21" t="s">
        <v>346</v>
      </c>
      <c r="G105" s="78" t="s">
        <v>375</v>
      </c>
    </row>
    <row r="106" spans="1:7" x14ac:dyDescent="0.3">
      <c r="A106" s="21" t="s">
        <v>320</v>
      </c>
      <c r="B106" s="21" t="s">
        <v>279</v>
      </c>
      <c r="C106" s="21" t="s">
        <v>80</v>
      </c>
      <c r="D106" s="21">
        <v>0.33</v>
      </c>
      <c r="E106" s="79" t="s">
        <v>211</v>
      </c>
      <c r="F106" s="21" t="s">
        <v>347</v>
      </c>
      <c r="G106" s="78" t="s">
        <v>348</v>
      </c>
    </row>
    <row r="107" spans="1:7" x14ac:dyDescent="0.3">
      <c r="A107" s="21" t="s">
        <v>320</v>
      </c>
      <c r="B107" s="21" t="s">
        <v>279</v>
      </c>
      <c r="C107" s="21" t="s">
        <v>74</v>
      </c>
      <c r="D107" s="21">
        <v>0.5</v>
      </c>
      <c r="E107" s="79" t="s">
        <v>211</v>
      </c>
      <c r="F107" s="21" t="s">
        <v>349</v>
      </c>
      <c r="G107" s="78" t="s">
        <v>376</v>
      </c>
    </row>
    <row r="108" spans="1:7" x14ac:dyDescent="0.3">
      <c r="A108" s="21" t="s">
        <v>320</v>
      </c>
      <c r="B108" s="21" t="s">
        <v>279</v>
      </c>
      <c r="C108" s="21" t="s">
        <v>56</v>
      </c>
      <c r="D108" s="21">
        <v>0.17</v>
      </c>
      <c r="E108" s="79" t="s">
        <v>211</v>
      </c>
      <c r="F108" s="21" t="s">
        <v>350</v>
      </c>
      <c r="G108" s="78" t="s">
        <v>377</v>
      </c>
    </row>
    <row r="109" spans="1:7" x14ac:dyDescent="0.3">
      <c r="A109" s="21" t="s">
        <v>320</v>
      </c>
      <c r="B109" s="21" t="s">
        <v>279</v>
      </c>
      <c r="C109" s="21" t="s">
        <v>56</v>
      </c>
      <c r="D109" s="21">
        <v>0.17</v>
      </c>
      <c r="E109" s="79" t="s">
        <v>211</v>
      </c>
      <c r="F109" s="21" t="s">
        <v>351</v>
      </c>
      <c r="G109" s="78" t="s">
        <v>352</v>
      </c>
    </row>
    <row r="110" spans="1:7" x14ac:dyDescent="0.3">
      <c r="A110" s="21" t="s">
        <v>321</v>
      </c>
      <c r="B110" s="21" t="s">
        <v>279</v>
      </c>
      <c r="C110" s="21" t="s">
        <v>74</v>
      </c>
      <c r="D110" s="21">
        <v>0.5</v>
      </c>
      <c r="E110" s="79" t="s">
        <v>211</v>
      </c>
      <c r="F110" s="21" t="s">
        <v>353</v>
      </c>
      <c r="G110" s="78" t="s">
        <v>354</v>
      </c>
    </row>
    <row r="111" spans="1:7" x14ac:dyDescent="0.3">
      <c r="A111" s="21" t="s">
        <v>321</v>
      </c>
      <c r="B111" s="21" t="s">
        <v>279</v>
      </c>
      <c r="C111" s="21" t="s">
        <v>43</v>
      </c>
      <c r="D111" s="21">
        <v>0.25</v>
      </c>
      <c r="E111" s="79" t="s">
        <v>211</v>
      </c>
      <c r="F111" s="21" t="s">
        <v>355</v>
      </c>
      <c r="G111" s="78" t="s">
        <v>356</v>
      </c>
    </row>
    <row r="112" spans="1:7" x14ac:dyDescent="0.3">
      <c r="A112" s="21" t="s">
        <v>321</v>
      </c>
      <c r="B112" s="21" t="s">
        <v>279</v>
      </c>
      <c r="C112" s="21" t="s">
        <v>20</v>
      </c>
      <c r="D112" s="21">
        <v>1</v>
      </c>
      <c r="E112" s="79" t="s">
        <v>211</v>
      </c>
      <c r="F112" s="21" t="s">
        <v>357</v>
      </c>
      <c r="G112" s="78" t="s">
        <v>358</v>
      </c>
    </row>
    <row r="113" spans="1:7" x14ac:dyDescent="0.3">
      <c r="A113" s="21" t="s">
        <v>321</v>
      </c>
      <c r="B113" s="21" t="s">
        <v>279</v>
      </c>
      <c r="C113" s="21" t="s">
        <v>74</v>
      </c>
      <c r="D113" s="21">
        <v>0.5</v>
      </c>
      <c r="E113" s="79" t="s">
        <v>211</v>
      </c>
      <c r="F113" s="21" t="s">
        <v>359</v>
      </c>
      <c r="G113" s="78" t="s">
        <v>360</v>
      </c>
    </row>
    <row r="114" spans="1:7" x14ac:dyDescent="0.3">
      <c r="A114" s="21" t="s">
        <v>321</v>
      </c>
      <c r="B114" s="21" t="s">
        <v>279</v>
      </c>
      <c r="C114" s="21" t="s">
        <v>128</v>
      </c>
      <c r="D114" s="21">
        <v>0.75</v>
      </c>
      <c r="E114" s="79" t="s">
        <v>211</v>
      </c>
      <c r="F114" s="21" t="s">
        <v>361</v>
      </c>
      <c r="G114" s="78" t="s">
        <v>362</v>
      </c>
    </row>
    <row r="115" spans="1:7" x14ac:dyDescent="0.3">
      <c r="A115" s="21" t="s">
        <v>321</v>
      </c>
      <c r="B115" s="21" t="s">
        <v>279</v>
      </c>
      <c r="C115" s="21" t="s">
        <v>74</v>
      </c>
      <c r="D115" s="21">
        <v>0.5</v>
      </c>
      <c r="E115" s="79" t="s">
        <v>211</v>
      </c>
      <c r="F115" s="21" t="s">
        <v>363</v>
      </c>
      <c r="G115" s="78" t="s">
        <v>364</v>
      </c>
    </row>
    <row r="116" spans="1:7" x14ac:dyDescent="0.3">
      <c r="A116" s="21" t="s">
        <v>321</v>
      </c>
      <c r="B116" s="21" t="s">
        <v>279</v>
      </c>
      <c r="C116" s="21" t="s">
        <v>74</v>
      </c>
      <c r="D116" s="21">
        <v>0.5</v>
      </c>
      <c r="E116" s="79" t="s">
        <v>211</v>
      </c>
      <c r="F116" s="21" t="s">
        <v>365</v>
      </c>
      <c r="G116" s="78" t="s">
        <v>366</v>
      </c>
    </row>
    <row r="117" spans="1:7" x14ac:dyDescent="0.3">
      <c r="A117" s="21" t="s">
        <v>321</v>
      </c>
      <c r="B117" s="21" t="s">
        <v>279</v>
      </c>
      <c r="C117" s="21" t="s">
        <v>80</v>
      </c>
      <c r="D117" s="21">
        <v>0.33</v>
      </c>
      <c r="E117" s="79" t="s">
        <v>211</v>
      </c>
      <c r="F117" s="21" t="s">
        <v>367</v>
      </c>
      <c r="G117" s="78" t="s">
        <v>368</v>
      </c>
    </row>
    <row r="118" spans="1:7" x14ac:dyDescent="0.3">
      <c r="A118" s="21" t="s">
        <v>321</v>
      </c>
      <c r="B118" s="21" t="s">
        <v>279</v>
      </c>
      <c r="C118" s="21" t="s">
        <v>43</v>
      </c>
      <c r="D118" s="21">
        <v>0.25</v>
      </c>
      <c r="E118" s="79" t="s">
        <v>211</v>
      </c>
      <c r="F118" s="21" t="s">
        <v>369</v>
      </c>
      <c r="G118" s="78" t="s">
        <v>370</v>
      </c>
    </row>
    <row r="119" spans="1:7" x14ac:dyDescent="0.3">
      <c r="A119" s="80">
        <v>46066</v>
      </c>
      <c r="B119" s="21" t="s">
        <v>279</v>
      </c>
      <c r="C119" s="1" t="s">
        <v>378</v>
      </c>
      <c r="D119" s="81">
        <v>4</v>
      </c>
      <c r="E119" s="79" t="s">
        <v>37</v>
      </c>
      <c r="F119" s="83"/>
      <c r="G119" s="19" t="s">
        <v>379</v>
      </c>
    </row>
    <row r="120" spans="1:7" x14ac:dyDescent="0.3">
      <c r="A120" s="80">
        <v>46066</v>
      </c>
      <c r="B120" s="21" t="s">
        <v>279</v>
      </c>
      <c r="C120" s="1" t="s">
        <v>11</v>
      </c>
      <c r="D120" s="82">
        <v>2</v>
      </c>
      <c r="E120" s="79" t="s">
        <v>37</v>
      </c>
      <c r="F120" s="83"/>
      <c r="G120" s="19" t="s">
        <v>380</v>
      </c>
    </row>
    <row r="121" spans="1:7" x14ac:dyDescent="0.3">
      <c r="A121" s="80" t="s">
        <v>382</v>
      </c>
      <c r="B121" s="21" t="s">
        <v>383</v>
      </c>
      <c r="C121" s="1" t="s">
        <v>20</v>
      </c>
      <c r="D121" s="82">
        <v>1</v>
      </c>
      <c r="E121" s="24" t="s">
        <v>212</v>
      </c>
      <c r="F121" s="17" t="s">
        <v>411</v>
      </c>
      <c r="G121" t="s">
        <v>389</v>
      </c>
    </row>
    <row r="122" spans="1:7" x14ac:dyDescent="0.3">
      <c r="A122" s="80" t="s">
        <v>382</v>
      </c>
      <c r="B122" s="21" t="s">
        <v>383</v>
      </c>
      <c r="C122" s="1" t="s">
        <v>74</v>
      </c>
      <c r="D122" s="82">
        <v>0.5</v>
      </c>
      <c r="E122" s="24" t="s">
        <v>212</v>
      </c>
      <c r="F122" s="17" t="s">
        <v>411</v>
      </c>
      <c r="G122" t="s">
        <v>390</v>
      </c>
    </row>
    <row r="123" spans="1:7" x14ac:dyDescent="0.3">
      <c r="A123" s="80" t="s">
        <v>382</v>
      </c>
      <c r="B123" s="21" t="s">
        <v>383</v>
      </c>
      <c r="C123" s="1" t="s">
        <v>20</v>
      </c>
      <c r="D123" s="82">
        <v>1</v>
      </c>
      <c r="E123" s="24" t="s">
        <v>212</v>
      </c>
      <c r="F123" s="17" t="s">
        <v>411</v>
      </c>
      <c r="G123" t="s">
        <v>391</v>
      </c>
    </row>
    <row r="124" spans="1:7" x14ac:dyDescent="0.3">
      <c r="A124" s="80" t="s">
        <v>384</v>
      </c>
      <c r="B124" s="21" t="s">
        <v>383</v>
      </c>
      <c r="C124" s="1" t="s">
        <v>128</v>
      </c>
      <c r="D124" s="82">
        <v>0.75</v>
      </c>
      <c r="E124" s="24" t="s">
        <v>212</v>
      </c>
      <c r="F124" s="17" t="s">
        <v>411</v>
      </c>
      <c r="G124" t="s">
        <v>392</v>
      </c>
    </row>
    <row r="125" spans="1:7" x14ac:dyDescent="0.3">
      <c r="A125" s="80" t="s">
        <v>384</v>
      </c>
      <c r="B125" s="21" t="s">
        <v>383</v>
      </c>
      <c r="C125" s="1" t="s">
        <v>20</v>
      </c>
      <c r="D125" s="82">
        <v>1</v>
      </c>
      <c r="E125" s="24" t="s">
        <v>212</v>
      </c>
      <c r="F125" s="17" t="s">
        <v>411</v>
      </c>
      <c r="G125" t="s">
        <v>393</v>
      </c>
    </row>
    <row r="126" spans="1:7" x14ac:dyDescent="0.3">
      <c r="A126" s="80" t="s">
        <v>384</v>
      </c>
      <c r="B126" s="21" t="s">
        <v>383</v>
      </c>
      <c r="C126" s="1" t="s">
        <v>128</v>
      </c>
      <c r="D126" s="82">
        <v>0.75</v>
      </c>
      <c r="E126" s="24" t="s">
        <v>212</v>
      </c>
      <c r="F126" s="17" t="s">
        <v>411</v>
      </c>
      <c r="G126" t="s">
        <v>394</v>
      </c>
    </row>
    <row r="127" spans="1:7" x14ac:dyDescent="0.3">
      <c r="A127" s="80" t="s">
        <v>385</v>
      </c>
      <c r="B127" s="21" t="s">
        <v>383</v>
      </c>
      <c r="C127" s="1" t="s">
        <v>74</v>
      </c>
      <c r="D127" s="82">
        <v>0.5</v>
      </c>
      <c r="E127" s="24" t="s">
        <v>212</v>
      </c>
      <c r="F127" s="17" t="s">
        <v>411</v>
      </c>
      <c r="G127" t="s">
        <v>395</v>
      </c>
    </row>
    <row r="128" spans="1:7" x14ac:dyDescent="0.3">
      <c r="A128" s="80" t="s">
        <v>385</v>
      </c>
      <c r="B128" s="21" t="s">
        <v>383</v>
      </c>
      <c r="C128" s="1" t="s">
        <v>74</v>
      </c>
      <c r="D128" s="82">
        <v>0.5</v>
      </c>
      <c r="E128" s="24" t="s">
        <v>212</v>
      </c>
      <c r="F128" s="17" t="s">
        <v>411</v>
      </c>
      <c r="G128" t="s">
        <v>396</v>
      </c>
    </row>
    <row r="129" spans="1:7" x14ac:dyDescent="0.3">
      <c r="A129" s="80" t="s">
        <v>385</v>
      </c>
      <c r="B129" s="21" t="s">
        <v>383</v>
      </c>
      <c r="C129" s="1" t="s">
        <v>74</v>
      </c>
      <c r="D129" s="82">
        <v>0.5</v>
      </c>
      <c r="E129" s="24" t="s">
        <v>212</v>
      </c>
      <c r="F129" s="17" t="s">
        <v>411</v>
      </c>
      <c r="G129" t="s">
        <v>397</v>
      </c>
    </row>
    <row r="130" spans="1:7" x14ac:dyDescent="0.3">
      <c r="A130" s="80" t="s">
        <v>385</v>
      </c>
      <c r="B130" s="21" t="s">
        <v>383</v>
      </c>
      <c r="C130" s="1" t="s">
        <v>43</v>
      </c>
      <c r="D130" s="82">
        <v>0.25</v>
      </c>
      <c r="E130" s="24" t="s">
        <v>212</v>
      </c>
      <c r="F130" s="17" t="s">
        <v>411</v>
      </c>
      <c r="G130" t="s">
        <v>398</v>
      </c>
    </row>
    <row r="131" spans="1:7" x14ac:dyDescent="0.3">
      <c r="A131" s="80" t="s">
        <v>386</v>
      </c>
      <c r="B131" s="21" t="s">
        <v>383</v>
      </c>
      <c r="C131" s="1" t="s">
        <v>74</v>
      </c>
      <c r="D131" s="82">
        <v>0.5</v>
      </c>
      <c r="E131" s="84" t="s">
        <v>234</v>
      </c>
      <c r="F131" s="17" t="s">
        <v>412</v>
      </c>
      <c r="G131" t="s">
        <v>399</v>
      </c>
    </row>
    <row r="132" spans="1:7" x14ac:dyDescent="0.3">
      <c r="A132" s="80" t="s">
        <v>386</v>
      </c>
      <c r="B132" s="21" t="s">
        <v>383</v>
      </c>
      <c r="C132" s="1" t="s">
        <v>14</v>
      </c>
      <c r="D132" s="82">
        <v>1.5</v>
      </c>
      <c r="E132" s="84" t="s">
        <v>234</v>
      </c>
      <c r="F132" s="17" t="s">
        <v>412</v>
      </c>
      <c r="G132" t="s">
        <v>400</v>
      </c>
    </row>
    <row r="133" spans="1:7" x14ac:dyDescent="0.3">
      <c r="A133" s="80" t="s">
        <v>387</v>
      </c>
      <c r="B133" s="21" t="s">
        <v>383</v>
      </c>
      <c r="C133" s="1" t="s">
        <v>14</v>
      </c>
      <c r="D133" s="82">
        <v>1.5</v>
      </c>
      <c r="E133" s="84" t="s">
        <v>234</v>
      </c>
      <c r="F133" s="17" t="s">
        <v>412</v>
      </c>
      <c r="G133" t="s">
        <v>401</v>
      </c>
    </row>
    <row r="134" spans="1:7" x14ac:dyDescent="0.3">
      <c r="A134" s="80" t="s">
        <v>387</v>
      </c>
      <c r="B134" s="21" t="s">
        <v>383</v>
      </c>
      <c r="C134" s="1" t="s">
        <v>20</v>
      </c>
      <c r="D134" s="82">
        <v>1</v>
      </c>
      <c r="E134" s="84" t="s">
        <v>234</v>
      </c>
      <c r="F134" s="17" t="s">
        <v>412</v>
      </c>
      <c r="G134" t="s">
        <v>402</v>
      </c>
    </row>
    <row r="135" spans="1:7" x14ac:dyDescent="0.3">
      <c r="A135" s="80" t="s">
        <v>387</v>
      </c>
      <c r="B135" s="21" t="s">
        <v>383</v>
      </c>
      <c r="C135" s="1" t="s">
        <v>20</v>
      </c>
      <c r="D135" s="82">
        <v>1</v>
      </c>
      <c r="E135" s="84" t="s">
        <v>234</v>
      </c>
      <c r="F135" s="17" t="s">
        <v>412</v>
      </c>
      <c r="G135" t="s">
        <v>403</v>
      </c>
    </row>
    <row r="136" spans="1:7" x14ac:dyDescent="0.3">
      <c r="A136" s="80" t="s">
        <v>388</v>
      </c>
      <c r="B136" s="21" t="s">
        <v>383</v>
      </c>
      <c r="C136" s="1" t="s">
        <v>128</v>
      </c>
      <c r="D136" s="82">
        <v>0.75</v>
      </c>
      <c r="E136" s="84" t="s">
        <v>234</v>
      </c>
      <c r="F136" s="17" t="s">
        <v>412</v>
      </c>
      <c r="G136" t="s">
        <v>404</v>
      </c>
    </row>
    <row r="137" spans="1:7" x14ac:dyDescent="0.3">
      <c r="A137" s="80" t="s">
        <v>388</v>
      </c>
      <c r="B137" s="21" t="s">
        <v>383</v>
      </c>
      <c r="C137" s="1" t="s">
        <v>128</v>
      </c>
      <c r="D137" s="82">
        <v>0.75</v>
      </c>
      <c r="E137" s="84" t="s">
        <v>234</v>
      </c>
      <c r="F137" s="17" t="s">
        <v>412</v>
      </c>
      <c r="G137" t="s">
        <v>405</v>
      </c>
    </row>
    <row r="138" spans="1:7" x14ac:dyDescent="0.3">
      <c r="A138" s="80" t="s">
        <v>388</v>
      </c>
      <c r="B138" s="21" t="s">
        <v>383</v>
      </c>
      <c r="C138" s="1" t="s">
        <v>74</v>
      </c>
      <c r="D138" s="82">
        <v>0.5</v>
      </c>
      <c r="E138" s="84" t="s">
        <v>234</v>
      </c>
      <c r="F138" s="17" t="s">
        <v>412</v>
      </c>
      <c r="G138" t="s">
        <v>406</v>
      </c>
    </row>
    <row r="139" spans="1:7" x14ac:dyDescent="0.3">
      <c r="A139" s="80" t="s">
        <v>388</v>
      </c>
      <c r="B139" s="21" t="s">
        <v>383</v>
      </c>
      <c r="C139" s="1" t="s">
        <v>43</v>
      </c>
      <c r="D139" s="82">
        <v>0.25</v>
      </c>
      <c r="E139" s="84" t="s">
        <v>234</v>
      </c>
      <c r="F139" s="17" t="s">
        <v>412</v>
      </c>
      <c r="G139" t="s">
        <v>407</v>
      </c>
    </row>
    <row r="140" spans="1:7" x14ac:dyDescent="0.3">
      <c r="A140" s="80" t="s">
        <v>388</v>
      </c>
      <c r="B140" s="21" t="s">
        <v>383</v>
      </c>
      <c r="C140" s="1" t="s">
        <v>43</v>
      </c>
      <c r="D140" s="82">
        <v>0.25</v>
      </c>
      <c r="E140" s="84" t="s">
        <v>234</v>
      </c>
      <c r="F140" s="17" t="s">
        <v>412</v>
      </c>
      <c r="G140" t="s">
        <v>408</v>
      </c>
    </row>
    <row r="141" spans="1:7" x14ac:dyDescent="0.3">
      <c r="A141" s="80" t="s">
        <v>388</v>
      </c>
      <c r="B141" s="21" t="s">
        <v>383</v>
      </c>
      <c r="C141" s="1" t="s">
        <v>128</v>
      </c>
      <c r="D141" s="82">
        <v>0.75</v>
      </c>
      <c r="E141" s="22" t="s">
        <v>17</v>
      </c>
      <c r="F141" s="17"/>
      <c r="G141" t="s">
        <v>409</v>
      </c>
    </row>
    <row r="142" spans="1:7" x14ac:dyDescent="0.3">
      <c r="A142" s="80" t="s">
        <v>388</v>
      </c>
      <c r="B142" s="21" t="s">
        <v>383</v>
      </c>
      <c r="C142" s="1" t="s">
        <v>128</v>
      </c>
      <c r="D142" s="82">
        <v>0.75</v>
      </c>
      <c r="E142" s="22" t="s">
        <v>37</v>
      </c>
      <c r="F142" s="17"/>
      <c r="G142" t="s">
        <v>410</v>
      </c>
    </row>
    <row r="143" spans="1:7" x14ac:dyDescent="0.3">
      <c r="A143" s="86">
        <v>46084</v>
      </c>
      <c r="B143" s="21" t="s">
        <v>383</v>
      </c>
      <c r="C143" s="1" t="s">
        <v>20</v>
      </c>
      <c r="D143" s="89">
        <v>1</v>
      </c>
      <c r="E143" s="22" t="s">
        <v>17</v>
      </c>
      <c r="F143" s="17"/>
      <c r="G143" t="s">
        <v>415</v>
      </c>
    </row>
    <row r="144" spans="1:7" x14ac:dyDescent="0.3">
      <c r="A144" s="86">
        <v>46084</v>
      </c>
      <c r="B144" s="21" t="s">
        <v>383</v>
      </c>
      <c r="C144" s="1" t="s">
        <v>128</v>
      </c>
      <c r="D144" s="89">
        <v>0.75</v>
      </c>
      <c r="E144" s="22" t="s">
        <v>17</v>
      </c>
      <c r="F144" s="17"/>
      <c r="G144" t="s">
        <v>416</v>
      </c>
    </row>
    <row r="145" spans="1:7" x14ac:dyDescent="0.3">
      <c r="A145" s="86">
        <v>46085</v>
      </c>
      <c r="B145" s="21" t="s">
        <v>383</v>
      </c>
      <c r="C145" s="1" t="s">
        <v>20</v>
      </c>
      <c r="D145" s="89">
        <v>1</v>
      </c>
      <c r="E145" s="22" t="s">
        <v>17</v>
      </c>
      <c r="F145" s="17"/>
      <c r="G145" t="s">
        <v>417</v>
      </c>
    </row>
    <row r="146" spans="1:7" x14ac:dyDescent="0.3">
      <c r="A146" s="86">
        <v>46085</v>
      </c>
      <c r="B146" s="21" t="s">
        <v>383</v>
      </c>
      <c r="C146" s="1" t="s">
        <v>128</v>
      </c>
      <c r="D146" s="89">
        <v>0.75</v>
      </c>
      <c r="E146" s="22" t="s">
        <v>17</v>
      </c>
      <c r="F146" s="17"/>
      <c r="G146" t="s">
        <v>418</v>
      </c>
    </row>
    <row r="147" spans="1:7" x14ac:dyDescent="0.3">
      <c r="A147" s="86">
        <v>46086</v>
      </c>
      <c r="B147" s="21" t="s">
        <v>383</v>
      </c>
      <c r="C147" s="1" t="s">
        <v>20</v>
      </c>
      <c r="D147" s="89">
        <v>1</v>
      </c>
      <c r="E147" s="22" t="s">
        <v>17</v>
      </c>
      <c r="F147" s="17"/>
      <c r="G147" t="s">
        <v>419</v>
      </c>
    </row>
    <row r="148" spans="1:7" x14ac:dyDescent="0.3">
      <c r="A148" s="86">
        <v>46086</v>
      </c>
      <c r="B148" s="21" t="s">
        <v>383</v>
      </c>
      <c r="C148" s="1" t="s">
        <v>74</v>
      </c>
      <c r="D148" s="89">
        <v>0.5</v>
      </c>
      <c r="E148" s="22" t="s">
        <v>17</v>
      </c>
      <c r="F148" s="17"/>
      <c r="G148" t="s">
        <v>420</v>
      </c>
    </row>
    <row r="149" spans="1:7" x14ac:dyDescent="0.3">
      <c r="A149" s="86">
        <v>46087</v>
      </c>
      <c r="B149" s="21" t="s">
        <v>383</v>
      </c>
      <c r="C149" s="1" t="s">
        <v>74</v>
      </c>
      <c r="D149" s="89">
        <v>0.5</v>
      </c>
      <c r="E149" s="22" t="s">
        <v>17</v>
      </c>
      <c r="F149" s="17"/>
      <c r="G149" t="s">
        <v>421</v>
      </c>
    </row>
    <row r="150" spans="1:7" x14ac:dyDescent="0.3">
      <c r="A150" s="86">
        <v>46088</v>
      </c>
      <c r="B150" s="21" t="s">
        <v>383</v>
      </c>
      <c r="C150" s="1" t="s">
        <v>20</v>
      </c>
      <c r="D150" s="89">
        <v>1</v>
      </c>
      <c r="E150" s="22" t="s">
        <v>234</v>
      </c>
      <c r="F150" s="17" t="s">
        <v>412</v>
      </c>
      <c r="G150" t="s">
        <v>422</v>
      </c>
    </row>
    <row r="151" spans="1:7" x14ac:dyDescent="0.3">
      <c r="A151" s="86">
        <v>46088</v>
      </c>
      <c r="B151" s="21" t="s">
        <v>383</v>
      </c>
      <c r="C151" s="1" t="s">
        <v>128</v>
      </c>
      <c r="D151" s="89">
        <v>0.75</v>
      </c>
      <c r="E151" s="22" t="s">
        <v>234</v>
      </c>
      <c r="F151" s="17" t="s">
        <v>412</v>
      </c>
      <c r="G151" t="s">
        <v>423</v>
      </c>
    </row>
    <row r="152" spans="1:7" x14ac:dyDescent="0.3">
      <c r="A152" s="86">
        <v>46089</v>
      </c>
      <c r="B152" s="21" t="s">
        <v>383</v>
      </c>
      <c r="C152" s="1" t="s">
        <v>128</v>
      </c>
      <c r="D152" s="89">
        <v>0.75</v>
      </c>
      <c r="E152" s="22" t="s">
        <v>234</v>
      </c>
      <c r="F152" s="17" t="s">
        <v>412</v>
      </c>
      <c r="G152" t="s">
        <v>424</v>
      </c>
    </row>
    <row r="153" spans="1:7" x14ac:dyDescent="0.3">
      <c r="A153" s="86">
        <v>46089</v>
      </c>
      <c r="B153" s="21" t="s">
        <v>383</v>
      </c>
      <c r="C153" s="1" t="s">
        <v>74</v>
      </c>
      <c r="D153" s="89">
        <v>0.5</v>
      </c>
      <c r="E153" s="22" t="s">
        <v>234</v>
      </c>
      <c r="F153" s="17" t="s">
        <v>412</v>
      </c>
      <c r="G153" t="s">
        <v>425</v>
      </c>
    </row>
    <row r="154" spans="1:7" x14ac:dyDescent="0.3">
      <c r="A154" s="86">
        <v>46089</v>
      </c>
      <c r="B154" s="21" t="s">
        <v>383</v>
      </c>
      <c r="C154" s="1" t="s">
        <v>74</v>
      </c>
      <c r="D154" s="89">
        <v>0.5</v>
      </c>
      <c r="E154" s="22" t="s">
        <v>234</v>
      </c>
      <c r="F154" s="17" t="s">
        <v>412</v>
      </c>
      <c r="G154" t="s">
        <v>426</v>
      </c>
    </row>
    <row r="155" spans="1:7" x14ac:dyDescent="0.3">
      <c r="A155" s="86">
        <v>46089</v>
      </c>
      <c r="B155" s="21" t="s">
        <v>383</v>
      </c>
      <c r="C155" s="1" t="s">
        <v>427</v>
      </c>
      <c r="D155" s="89">
        <v>1.5</v>
      </c>
      <c r="E155" s="22" t="s">
        <v>413</v>
      </c>
      <c r="F155" s="17" t="s">
        <v>428</v>
      </c>
      <c r="G155" t="s">
        <v>429</v>
      </c>
    </row>
    <row r="156" spans="1:7" x14ac:dyDescent="0.3">
      <c r="A156" s="86">
        <v>46090</v>
      </c>
      <c r="B156" s="21" t="s">
        <v>383</v>
      </c>
      <c r="C156" s="1" t="s">
        <v>427</v>
      </c>
      <c r="D156" s="89">
        <v>1.5</v>
      </c>
      <c r="E156" s="22" t="s">
        <v>413</v>
      </c>
      <c r="F156" s="17" t="s">
        <v>428</v>
      </c>
      <c r="G156" t="s">
        <v>430</v>
      </c>
    </row>
    <row r="157" spans="1:7" x14ac:dyDescent="0.3">
      <c r="A157" s="86">
        <v>46090</v>
      </c>
      <c r="B157" s="21" t="s">
        <v>383</v>
      </c>
      <c r="C157" s="1" t="s">
        <v>20</v>
      </c>
      <c r="D157" s="89">
        <v>1</v>
      </c>
      <c r="E157" s="22" t="s">
        <v>413</v>
      </c>
      <c r="F157" s="17" t="s">
        <v>428</v>
      </c>
      <c r="G157" t="s">
        <v>431</v>
      </c>
    </row>
    <row r="158" spans="1:7" x14ac:dyDescent="0.3">
      <c r="A158" s="87">
        <v>46090</v>
      </c>
      <c r="B158" s="1" t="s">
        <v>383</v>
      </c>
      <c r="C158" s="1" t="s">
        <v>74</v>
      </c>
      <c r="D158" s="4">
        <v>0.5</v>
      </c>
      <c r="E158" s="22" t="s">
        <v>413</v>
      </c>
      <c r="F158" s="17" t="s">
        <v>428</v>
      </c>
      <c r="G158" s="19" t="s">
        <v>432</v>
      </c>
    </row>
    <row r="159" spans="1:7" x14ac:dyDescent="0.3">
      <c r="A159" s="87">
        <v>46090</v>
      </c>
      <c r="B159" s="1" t="s">
        <v>383</v>
      </c>
      <c r="C159" s="1" t="s">
        <v>43</v>
      </c>
      <c r="D159" s="4">
        <v>0.25</v>
      </c>
      <c r="E159" s="22" t="s">
        <v>413</v>
      </c>
      <c r="F159" s="17" t="s">
        <v>428</v>
      </c>
      <c r="G159" s="19" t="s">
        <v>433</v>
      </c>
    </row>
    <row r="160" spans="1:7" x14ac:dyDescent="0.3">
      <c r="A160" s="87">
        <v>46090</v>
      </c>
      <c r="B160" s="1" t="s">
        <v>383</v>
      </c>
      <c r="C160" s="1" t="s">
        <v>20</v>
      </c>
      <c r="D160" s="4">
        <v>1</v>
      </c>
      <c r="E160" s="22" t="s">
        <v>214</v>
      </c>
      <c r="F160" s="17" t="s">
        <v>434</v>
      </c>
      <c r="G160" s="19" t="s">
        <v>435</v>
      </c>
    </row>
    <row r="161" spans="1:7" x14ac:dyDescent="0.3">
      <c r="A161" s="87">
        <v>46090</v>
      </c>
      <c r="B161" s="1" t="s">
        <v>383</v>
      </c>
      <c r="C161" s="1" t="s">
        <v>427</v>
      </c>
      <c r="D161" s="4">
        <v>1.5</v>
      </c>
      <c r="E161" s="22" t="s">
        <v>214</v>
      </c>
      <c r="F161" s="17" t="s">
        <v>434</v>
      </c>
      <c r="G161" s="19" t="s">
        <v>436</v>
      </c>
    </row>
    <row r="162" spans="1:7" x14ac:dyDescent="0.3">
      <c r="A162" s="87">
        <v>46090</v>
      </c>
      <c r="B162" s="1" t="s">
        <v>383</v>
      </c>
      <c r="C162" s="1" t="s">
        <v>128</v>
      </c>
      <c r="D162" s="4">
        <v>0.75</v>
      </c>
      <c r="E162" s="22" t="s">
        <v>214</v>
      </c>
      <c r="F162" s="17" t="s">
        <v>434</v>
      </c>
      <c r="G162" s="19" t="s">
        <v>437</v>
      </c>
    </row>
    <row r="163" spans="1:7" x14ac:dyDescent="0.3">
      <c r="A163" s="88">
        <v>46090</v>
      </c>
      <c r="B163" s="85" t="s">
        <v>383</v>
      </c>
      <c r="C163" s="85" t="s">
        <v>43</v>
      </c>
      <c r="D163" s="91">
        <v>0.25</v>
      </c>
      <c r="E163" s="22" t="s">
        <v>214</v>
      </c>
      <c r="F163" s="17" t="s">
        <v>434</v>
      </c>
      <c r="G163" s="19" t="s">
        <v>438</v>
      </c>
    </row>
    <row r="164" spans="1:7" x14ac:dyDescent="0.3">
      <c r="A164" s="88">
        <v>46090</v>
      </c>
      <c r="B164" s="85" t="s">
        <v>383</v>
      </c>
      <c r="C164" s="85" t="s">
        <v>128</v>
      </c>
      <c r="D164" s="91">
        <v>0.75</v>
      </c>
      <c r="E164" s="22" t="s">
        <v>37</v>
      </c>
      <c r="F164" s="17"/>
      <c r="G164" s="19" t="s">
        <v>439</v>
      </c>
    </row>
    <row r="165" spans="1:7" x14ac:dyDescent="0.3">
      <c r="A165" s="88">
        <v>46092</v>
      </c>
      <c r="B165" s="85" t="s">
        <v>383</v>
      </c>
      <c r="C165" s="85" t="s">
        <v>20</v>
      </c>
      <c r="D165" s="91">
        <v>1</v>
      </c>
      <c r="E165" s="22" t="s">
        <v>215</v>
      </c>
      <c r="F165" s="17" t="s">
        <v>462</v>
      </c>
      <c r="G165" s="19" t="s">
        <v>440</v>
      </c>
    </row>
    <row r="166" spans="1:7" x14ac:dyDescent="0.3">
      <c r="A166" s="88">
        <v>46092</v>
      </c>
      <c r="B166" s="85" t="s">
        <v>383</v>
      </c>
      <c r="C166" s="85" t="s">
        <v>128</v>
      </c>
      <c r="D166" s="91">
        <v>0.75</v>
      </c>
      <c r="E166" s="22" t="s">
        <v>215</v>
      </c>
      <c r="F166" s="17" t="s">
        <v>462</v>
      </c>
      <c r="G166" s="19" t="s">
        <v>441</v>
      </c>
    </row>
    <row r="167" spans="1:7" x14ac:dyDescent="0.3">
      <c r="A167" s="88">
        <v>46092</v>
      </c>
      <c r="B167" s="85" t="s">
        <v>383</v>
      </c>
      <c r="C167" s="85" t="s">
        <v>442</v>
      </c>
      <c r="D167" s="91">
        <v>1.25</v>
      </c>
      <c r="E167" s="22" t="s">
        <v>215</v>
      </c>
      <c r="F167" s="17" t="s">
        <v>462</v>
      </c>
      <c r="G167" s="19" t="s">
        <v>443</v>
      </c>
    </row>
    <row r="168" spans="1:7" x14ac:dyDescent="0.3">
      <c r="A168" s="88">
        <v>46092</v>
      </c>
      <c r="B168" s="85" t="s">
        <v>383</v>
      </c>
      <c r="C168" s="85" t="s">
        <v>20</v>
      </c>
      <c r="D168" s="91">
        <v>1</v>
      </c>
      <c r="E168" s="22" t="s">
        <v>215</v>
      </c>
      <c r="F168" s="17" t="s">
        <v>462</v>
      </c>
      <c r="G168" s="19" t="s">
        <v>444</v>
      </c>
    </row>
    <row r="169" spans="1:7" x14ac:dyDescent="0.3">
      <c r="A169" s="88">
        <v>46094</v>
      </c>
      <c r="B169" s="85" t="s">
        <v>383</v>
      </c>
      <c r="C169" s="85" t="s">
        <v>128</v>
      </c>
      <c r="D169" s="91">
        <v>0.75</v>
      </c>
      <c r="E169" s="22" t="s">
        <v>215</v>
      </c>
      <c r="F169" s="17" t="s">
        <v>462</v>
      </c>
      <c r="G169" s="19" t="s">
        <v>445</v>
      </c>
    </row>
    <row r="170" spans="1:7" x14ac:dyDescent="0.3">
      <c r="A170" s="88">
        <v>46094</v>
      </c>
      <c r="B170" s="85" t="s">
        <v>383</v>
      </c>
      <c r="C170" s="85" t="s">
        <v>20</v>
      </c>
      <c r="D170" s="91">
        <v>1</v>
      </c>
      <c r="E170" s="22" t="s">
        <v>215</v>
      </c>
      <c r="F170" s="17" t="s">
        <v>462</v>
      </c>
      <c r="G170" s="19" t="s">
        <v>446</v>
      </c>
    </row>
    <row r="171" spans="1:7" x14ac:dyDescent="0.3">
      <c r="A171" s="88">
        <v>46094</v>
      </c>
      <c r="B171" s="85" t="s">
        <v>383</v>
      </c>
      <c r="C171" s="85" t="s">
        <v>442</v>
      </c>
      <c r="D171" s="91">
        <v>1.25</v>
      </c>
      <c r="E171" s="22" t="s">
        <v>215</v>
      </c>
      <c r="F171" s="17" t="s">
        <v>462</v>
      </c>
      <c r="G171" s="19" t="s">
        <v>447</v>
      </c>
    </row>
    <row r="172" spans="1:7" x14ac:dyDescent="0.3">
      <c r="A172" s="88">
        <v>46094</v>
      </c>
      <c r="B172" s="85" t="s">
        <v>383</v>
      </c>
      <c r="C172" s="85" t="s">
        <v>128</v>
      </c>
      <c r="D172" s="91">
        <v>0.75</v>
      </c>
      <c r="E172" s="22" t="s">
        <v>215</v>
      </c>
      <c r="F172" s="17" t="s">
        <v>462</v>
      </c>
      <c r="G172" s="19" t="s">
        <v>448</v>
      </c>
    </row>
    <row r="173" spans="1:7" x14ac:dyDescent="0.3">
      <c r="A173" s="88">
        <v>46096</v>
      </c>
      <c r="B173" s="85" t="s">
        <v>383</v>
      </c>
      <c r="C173" s="85" t="s">
        <v>128</v>
      </c>
      <c r="D173" s="91">
        <v>0.75</v>
      </c>
      <c r="E173" s="22" t="s">
        <v>215</v>
      </c>
      <c r="F173" s="17" t="s">
        <v>462</v>
      </c>
      <c r="G173" s="19" t="s">
        <v>449</v>
      </c>
    </row>
    <row r="174" spans="1:7" x14ac:dyDescent="0.3">
      <c r="A174" s="88">
        <v>46096</v>
      </c>
      <c r="B174" s="85" t="s">
        <v>383</v>
      </c>
      <c r="C174" s="85" t="s">
        <v>74</v>
      </c>
      <c r="D174" s="91">
        <v>0.5</v>
      </c>
      <c r="E174" s="22" t="s">
        <v>215</v>
      </c>
      <c r="F174" s="17" t="s">
        <v>462</v>
      </c>
      <c r="G174" s="19" t="s">
        <v>450</v>
      </c>
    </row>
    <row r="175" spans="1:7" x14ac:dyDescent="0.3">
      <c r="A175" s="88">
        <v>46096</v>
      </c>
      <c r="B175" s="85" t="s">
        <v>383</v>
      </c>
      <c r="C175" s="85" t="s">
        <v>128</v>
      </c>
      <c r="D175" s="91">
        <v>0.75</v>
      </c>
      <c r="E175" s="22" t="s">
        <v>215</v>
      </c>
      <c r="F175" s="17" t="s">
        <v>462</v>
      </c>
      <c r="G175" s="19" t="s">
        <v>451</v>
      </c>
    </row>
    <row r="176" spans="1:7" x14ac:dyDescent="0.3">
      <c r="A176" s="88">
        <v>46096</v>
      </c>
      <c r="B176" s="85" t="s">
        <v>383</v>
      </c>
      <c r="C176" s="85" t="s">
        <v>74</v>
      </c>
      <c r="D176" s="91">
        <v>0.5</v>
      </c>
      <c r="E176" s="22" t="s">
        <v>215</v>
      </c>
      <c r="F176" s="17" t="s">
        <v>462</v>
      </c>
      <c r="G176" s="19" t="s">
        <v>452</v>
      </c>
    </row>
    <row r="177" spans="1:7" x14ac:dyDescent="0.3">
      <c r="A177" s="88">
        <v>46097</v>
      </c>
      <c r="B177" s="85" t="s">
        <v>453</v>
      </c>
      <c r="C177" s="85" t="s">
        <v>20</v>
      </c>
      <c r="D177" s="91">
        <v>1</v>
      </c>
      <c r="E177" s="22" t="s">
        <v>216</v>
      </c>
      <c r="F177" s="17" t="s">
        <v>463</v>
      </c>
      <c r="G177" s="19" t="s">
        <v>454</v>
      </c>
    </row>
    <row r="178" spans="1:7" x14ac:dyDescent="0.3">
      <c r="A178" s="88">
        <v>46097</v>
      </c>
      <c r="B178" s="85" t="s">
        <v>453</v>
      </c>
      <c r="C178" s="85" t="s">
        <v>442</v>
      </c>
      <c r="D178" s="91">
        <v>1.25</v>
      </c>
      <c r="E178" s="22" t="s">
        <v>216</v>
      </c>
      <c r="F178" s="17" t="s">
        <v>463</v>
      </c>
      <c r="G178" s="19" t="s">
        <v>455</v>
      </c>
    </row>
    <row r="179" spans="1:7" x14ac:dyDescent="0.3">
      <c r="A179" s="88">
        <v>46097</v>
      </c>
      <c r="B179" s="85" t="s">
        <v>453</v>
      </c>
      <c r="C179" s="85" t="s">
        <v>74</v>
      </c>
      <c r="D179" s="91">
        <v>0.5</v>
      </c>
      <c r="E179" s="22" t="s">
        <v>216</v>
      </c>
      <c r="F179" s="17" t="s">
        <v>463</v>
      </c>
      <c r="G179" s="19" t="s">
        <v>456</v>
      </c>
    </row>
    <row r="180" spans="1:7" x14ac:dyDescent="0.3">
      <c r="A180" s="88">
        <v>46097</v>
      </c>
      <c r="B180" s="85" t="s">
        <v>453</v>
      </c>
      <c r="C180" s="85" t="s">
        <v>427</v>
      </c>
      <c r="D180" s="91">
        <v>1.5</v>
      </c>
      <c r="E180" s="22" t="s">
        <v>217</v>
      </c>
      <c r="F180" s="17" t="s">
        <v>464</v>
      </c>
      <c r="G180" s="19" t="s">
        <v>457</v>
      </c>
    </row>
    <row r="181" spans="1:7" x14ac:dyDescent="0.3">
      <c r="A181" s="88">
        <v>46097</v>
      </c>
      <c r="B181" s="85" t="s">
        <v>453</v>
      </c>
      <c r="C181" s="85" t="s">
        <v>458</v>
      </c>
      <c r="D181" s="91">
        <v>1.75</v>
      </c>
      <c r="E181" s="22" t="s">
        <v>217</v>
      </c>
      <c r="F181" s="17" t="s">
        <v>464</v>
      </c>
      <c r="G181" s="19" t="s">
        <v>459</v>
      </c>
    </row>
    <row r="182" spans="1:7" x14ac:dyDescent="0.3">
      <c r="A182" s="88">
        <v>46097</v>
      </c>
      <c r="B182" s="85" t="s">
        <v>453</v>
      </c>
      <c r="C182" s="85" t="s">
        <v>427</v>
      </c>
      <c r="D182" s="91">
        <v>1.5</v>
      </c>
      <c r="E182" s="22" t="s">
        <v>217</v>
      </c>
      <c r="F182" s="17" t="s">
        <v>464</v>
      </c>
      <c r="G182" s="19" t="s">
        <v>460</v>
      </c>
    </row>
    <row r="183" spans="1:7" x14ac:dyDescent="0.3">
      <c r="A183" s="88">
        <v>46097</v>
      </c>
      <c r="B183" s="85" t="s">
        <v>453</v>
      </c>
      <c r="C183" s="85" t="s">
        <v>74</v>
      </c>
      <c r="D183" s="91">
        <v>0.5</v>
      </c>
      <c r="E183" s="22" t="s">
        <v>217</v>
      </c>
      <c r="F183" s="17" t="s">
        <v>464</v>
      </c>
      <c r="G183" s="19" t="s">
        <v>461</v>
      </c>
    </row>
    <row r="184" spans="1:7" x14ac:dyDescent="0.3">
      <c r="A184" s="88">
        <v>46097</v>
      </c>
      <c r="B184" s="85" t="s">
        <v>453</v>
      </c>
      <c r="C184" s="85" t="s">
        <v>128</v>
      </c>
      <c r="D184" s="91">
        <v>0.75</v>
      </c>
      <c r="E184" s="22" t="s">
        <v>37</v>
      </c>
      <c r="F184" s="17"/>
      <c r="G184" s="19" t="s">
        <v>465</v>
      </c>
    </row>
    <row r="185" spans="1:7" x14ac:dyDescent="0.3">
      <c r="A185" s="88">
        <v>46098</v>
      </c>
      <c r="B185" s="85" t="s">
        <v>466</v>
      </c>
      <c r="C185" s="85" t="s">
        <v>20</v>
      </c>
      <c r="D185" s="91">
        <v>1</v>
      </c>
      <c r="E185" s="92" t="s">
        <v>467</v>
      </c>
      <c r="F185" s="17" t="s">
        <v>468</v>
      </c>
      <c r="G185" s="19" t="s">
        <v>469</v>
      </c>
    </row>
    <row r="186" spans="1:7" x14ac:dyDescent="0.3">
      <c r="A186" s="88">
        <v>46098</v>
      </c>
      <c r="B186" s="85" t="s">
        <v>466</v>
      </c>
      <c r="C186" s="85" t="s">
        <v>128</v>
      </c>
      <c r="D186" s="91">
        <v>0.75</v>
      </c>
      <c r="E186" s="92" t="s">
        <v>467</v>
      </c>
      <c r="F186" s="17" t="s">
        <v>468</v>
      </c>
      <c r="G186" s="19" t="s">
        <v>470</v>
      </c>
    </row>
    <row r="187" spans="1:7" x14ac:dyDescent="0.3">
      <c r="A187" s="88">
        <v>46098</v>
      </c>
      <c r="B187" s="85" t="s">
        <v>466</v>
      </c>
      <c r="C187" s="85" t="s">
        <v>74</v>
      </c>
      <c r="D187" s="91">
        <v>0.5</v>
      </c>
      <c r="E187" s="92" t="s">
        <v>467</v>
      </c>
      <c r="F187" s="17" t="s">
        <v>468</v>
      </c>
      <c r="G187" s="19" t="s">
        <v>471</v>
      </c>
    </row>
    <row r="188" spans="1:7" x14ac:dyDescent="0.3">
      <c r="A188" s="88">
        <v>46100</v>
      </c>
      <c r="B188" s="85" t="s">
        <v>466</v>
      </c>
      <c r="C188" s="85" t="s">
        <v>20</v>
      </c>
      <c r="D188" s="91">
        <v>1</v>
      </c>
      <c r="E188" s="92" t="s">
        <v>467</v>
      </c>
      <c r="F188" s="17" t="s">
        <v>472</v>
      </c>
      <c r="G188" s="19" t="s">
        <v>473</v>
      </c>
    </row>
    <row r="189" spans="1:7" x14ac:dyDescent="0.3">
      <c r="A189" s="88">
        <v>46100</v>
      </c>
      <c r="B189" s="85" t="s">
        <v>466</v>
      </c>
      <c r="C189" s="85" t="s">
        <v>442</v>
      </c>
      <c r="D189" s="91">
        <v>1.25</v>
      </c>
      <c r="E189" s="92" t="s">
        <v>467</v>
      </c>
      <c r="F189" s="17" t="s">
        <v>472</v>
      </c>
      <c r="G189" s="19" t="s">
        <v>474</v>
      </c>
    </row>
    <row r="190" spans="1:7" x14ac:dyDescent="0.3">
      <c r="A190" s="88">
        <v>46100</v>
      </c>
      <c r="B190" s="85" t="s">
        <v>466</v>
      </c>
      <c r="C190" s="85" t="s">
        <v>74</v>
      </c>
      <c r="D190" s="91">
        <v>0.5</v>
      </c>
      <c r="E190" s="92" t="s">
        <v>467</v>
      </c>
      <c r="F190" s="17" t="s">
        <v>475</v>
      </c>
      <c r="G190" s="19" t="s">
        <v>476</v>
      </c>
    </row>
    <row r="191" spans="1:7" x14ac:dyDescent="0.3">
      <c r="A191" s="88">
        <v>46102</v>
      </c>
      <c r="B191" s="85" t="s">
        <v>466</v>
      </c>
      <c r="C191" s="85" t="s">
        <v>427</v>
      </c>
      <c r="D191" s="91">
        <v>1.5</v>
      </c>
      <c r="E191" s="92" t="s">
        <v>467</v>
      </c>
      <c r="F191" s="17" t="s">
        <v>475</v>
      </c>
      <c r="G191" s="19" t="s">
        <v>477</v>
      </c>
    </row>
    <row r="192" spans="1:7" x14ac:dyDescent="0.3">
      <c r="A192" s="88">
        <v>46102</v>
      </c>
      <c r="B192" s="85" t="s">
        <v>466</v>
      </c>
      <c r="C192" s="85" t="s">
        <v>128</v>
      </c>
      <c r="D192" s="91">
        <v>0.75</v>
      </c>
      <c r="E192" s="92" t="s">
        <v>467</v>
      </c>
      <c r="F192" s="17" t="s">
        <v>478</v>
      </c>
      <c r="G192" s="19" t="s">
        <v>479</v>
      </c>
    </row>
    <row r="193" spans="1:7" x14ac:dyDescent="0.3">
      <c r="A193" s="88">
        <v>46102</v>
      </c>
      <c r="B193" s="85" t="s">
        <v>466</v>
      </c>
      <c r="C193" s="85" t="s">
        <v>442</v>
      </c>
      <c r="D193" s="91">
        <v>1.25</v>
      </c>
      <c r="E193" s="92" t="s">
        <v>467</v>
      </c>
      <c r="F193" s="17" t="s">
        <v>478</v>
      </c>
      <c r="G193" s="19" t="s">
        <v>480</v>
      </c>
    </row>
    <row r="194" spans="1:7" x14ac:dyDescent="0.3">
      <c r="A194" s="88">
        <v>46102</v>
      </c>
      <c r="B194" s="85" t="s">
        <v>466</v>
      </c>
      <c r="C194" s="85" t="s">
        <v>128</v>
      </c>
      <c r="D194" s="91">
        <v>0.75</v>
      </c>
      <c r="E194" s="92" t="s">
        <v>467</v>
      </c>
      <c r="F194" s="17" t="s">
        <v>481</v>
      </c>
      <c r="G194" s="19" t="s">
        <v>482</v>
      </c>
    </row>
    <row r="195" spans="1:7" x14ac:dyDescent="0.3">
      <c r="A195" s="88">
        <v>46102</v>
      </c>
      <c r="B195" s="85" t="s">
        <v>466</v>
      </c>
      <c r="C195" s="85" t="s">
        <v>442</v>
      </c>
      <c r="D195" s="91">
        <v>1.25</v>
      </c>
      <c r="E195" s="92" t="s">
        <v>467</v>
      </c>
      <c r="F195" s="17" t="s">
        <v>481</v>
      </c>
      <c r="G195" s="19" t="s">
        <v>483</v>
      </c>
    </row>
    <row r="196" spans="1:7" x14ac:dyDescent="0.3">
      <c r="A196" s="88">
        <v>46103</v>
      </c>
      <c r="B196" s="85" t="s">
        <v>466</v>
      </c>
      <c r="C196" s="85" t="s">
        <v>128</v>
      </c>
      <c r="D196" s="91">
        <v>0.75</v>
      </c>
      <c r="E196" s="92" t="s">
        <v>467</v>
      </c>
      <c r="F196" s="17" t="s">
        <v>484</v>
      </c>
      <c r="G196" s="19" t="s">
        <v>485</v>
      </c>
    </row>
    <row r="197" spans="1:7" x14ac:dyDescent="0.3">
      <c r="A197" s="88">
        <v>46103</v>
      </c>
      <c r="B197" s="85" t="s">
        <v>466</v>
      </c>
      <c r="C197" s="85" t="s">
        <v>442</v>
      </c>
      <c r="D197" s="91">
        <v>1.25</v>
      </c>
      <c r="E197" s="92" t="s">
        <v>467</v>
      </c>
      <c r="F197" s="17" t="s">
        <v>484</v>
      </c>
      <c r="G197" s="19" t="s">
        <v>486</v>
      </c>
    </row>
    <row r="198" spans="1:7" x14ac:dyDescent="0.3">
      <c r="A198" s="88">
        <v>46104</v>
      </c>
      <c r="B198" s="85" t="s">
        <v>466</v>
      </c>
      <c r="C198" s="85" t="s">
        <v>128</v>
      </c>
      <c r="D198" s="91">
        <v>0.75</v>
      </c>
      <c r="E198" s="92" t="s">
        <v>467</v>
      </c>
      <c r="F198" s="17" t="s">
        <v>487</v>
      </c>
      <c r="G198" s="19" t="s">
        <v>488</v>
      </c>
    </row>
    <row r="199" spans="1:7" x14ac:dyDescent="0.3">
      <c r="A199" s="88">
        <v>46104</v>
      </c>
      <c r="B199" s="85" t="s">
        <v>466</v>
      </c>
      <c r="C199" s="85" t="s">
        <v>442</v>
      </c>
      <c r="D199" s="91">
        <v>1.25</v>
      </c>
      <c r="E199" s="92" t="s">
        <v>467</v>
      </c>
      <c r="F199" s="17" t="s">
        <v>487</v>
      </c>
      <c r="G199" s="19" t="s">
        <v>489</v>
      </c>
    </row>
    <row r="200" spans="1:7" x14ac:dyDescent="0.3">
      <c r="A200" s="88">
        <v>46104</v>
      </c>
      <c r="B200" s="85" t="s">
        <v>466</v>
      </c>
      <c r="C200" s="85" t="s">
        <v>128</v>
      </c>
      <c r="D200" s="91">
        <v>0.75</v>
      </c>
      <c r="E200" s="92" t="s">
        <v>467</v>
      </c>
      <c r="F200" s="17" t="s">
        <v>490</v>
      </c>
      <c r="G200" s="19" t="s">
        <v>491</v>
      </c>
    </row>
    <row r="201" spans="1:7" x14ac:dyDescent="0.3">
      <c r="A201" s="88">
        <v>46104</v>
      </c>
      <c r="B201" s="85" t="s">
        <v>466</v>
      </c>
      <c r="C201" s="85" t="s">
        <v>427</v>
      </c>
      <c r="D201" s="91">
        <v>1.5</v>
      </c>
      <c r="E201" s="92" t="s">
        <v>467</v>
      </c>
      <c r="F201" s="17" t="s">
        <v>490</v>
      </c>
      <c r="G201" s="19" t="s">
        <v>492</v>
      </c>
    </row>
    <row r="202" spans="1:7" x14ac:dyDescent="0.3">
      <c r="A202" s="88">
        <v>46104</v>
      </c>
      <c r="B202" s="85" t="s">
        <v>466</v>
      </c>
      <c r="C202" s="85" t="s">
        <v>128</v>
      </c>
      <c r="D202" s="91">
        <v>0.75</v>
      </c>
      <c r="E202" s="92" t="s">
        <v>467</v>
      </c>
      <c r="F202" s="17" t="s">
        <v>493</v>
      </c>
      <c r="G202" s="19" t="s">
        <v>494</v>
      </c>
    </row>
    <row r="203" spans="1:7" x14ac:dyDescent="0.3">
      <c r="A203" s="88">
        <v>46104</v>
      </c>
      <c r="B203" s="85" t="s">
        <v>466</v>
      </c>
      <c r="C203" s="85" t="s">
        <v>427</v>
      </c>
      <c r="D203" s="91">
        <v>1.5</v>
      </c>
      <c r="E203" s="92" t="s">
        <v>467</v>
      </c>
      <c r="F203" s="17" t="s">
        <v>493</v>
      </c>
      <c r="G203" s="19" t="s">
        <v>495</v>
      </c>
    </row>
    <row r="204" spans="1:7" x14ac:dyDescent="0.3">
      <c r="A204" s="88">
        <v>46104</v>
      </c>
      <c r="B204" s="85" t="s">
        <v>466</v>
      </c>
      <c r="C204" s="85" t="s">
        <v>128</v>
      </c>
      <c r="D204" s="91">
        <v>0.75</v>
      </c>
      <c r="E204" s="92" t="s">
        <v>467</v>
      </c>
      <c r="F204" s="17" t="s">
        <v>496</v>
      </c>
      <c r="G204" s="19" t="s">
        <v>497</v>
      </c>
    </row>
    <row r="205" spans="1:7" x14ac:dyDescent="0.3">
      <c r="A205" s="88">
        <v>46104</v>
      </c>
      <c r="B205" s="85" t="s">
        <v>466</v>
      </c>
      <c r="C205" s="85" t="s">
        <v>442</v>
      </c>
      <c r="D205" s="91">
        <v>1.25</v>
      </c>
      <c r="E205" s="92" t="s">
        <v>467</v>
      </c>
      <c r="F205" s="17" t="s">
        <v>496</v>
      </c>
      <c r="G205" s="19" t="s">
        <v>498</v>
      </c>
    </row>
    <row r="206" spans="1:7" x14ac:dyDescent="0.3">
      <c r="A206" s="88">
        <v>46104</v>
      </c>
      <c r="B206" s="85" t="s">
        <v>466</v>
      </c>
      <c r="C206" s="85" t="s">
        <v>74</v>
      </c>
      <c r="D206" s="91">
        <v>0.5</v>
      </c>
      <c r="E206" s="92" t="s">
        <v>467</v>
      </c>
      <c r="F206" s="17" t="s">
        <v>499</v>
      </c>
      <c r="G206" s="19" t="s">
        <v>500</v>
      </c>
    </row>
    <row r="207" spans="1:7" x14ac:dyDescent="0.3">
      <c r="A207" s="108">
        <v>46104</v>
      </c>
      <c r="B207" s="109" t="s">
        <v>466</v>
      </c>
      <c r="C207" s="109" t="s">
        <v>43</v>
      </c>
      <c r="D207" s="110">
        <v>0.25</v>
      </c>
      <c r="E207" s="119" t="s">
        <v>37</v>
      </c>
      <c r="F207" s="120" t="s">
        <v>499</v>
      </c>
      <c r="G207" s="121" t="s">
        <v>501</v>
      </c>
    </row>
    <row r="208" spans="1:7" x14ac:dyDescent="0.3">
      <c r="A208" s="88">
        <v>46114</v>
      </c>
      <c r="B208" s="85" t="s">
        <v>466</v>
      </c>
      <c r="C208" s="85" t="s">
        <v>20</v>
      </c>
      <c r="D208" s="116">
        <v>1</v>
      </c>
      <c r="E208" s="92" t="s">
        <v>502</v>
      </c>
      <c r="F208" s="17" t="s">
        <v>503</v>
      </c>
      <c r="G208" s="106" t="s">
        <v>504</v>
      </c>
    </row>
    <row r="209" spans="1:7" x14ac:dyDescent="0.3">
      <c r="A209" s="114">
        <v>46114</v>
      </c>
      <c r="B209" s="115" t="s">
        <v>466</v>
      </c>
      <c r="C209" s="115" t="s">
        <v>128</v>
      </c>
      <c r="D209" s="117">
        <v>0.75</v>
      </c>
      <c r="E209" s="92" t="s">
        <v>502</v>
      </c>
      <c r="F209" s="17" t="s">
        <v>505</v>
      </c>
      <c r="G209" s="106" t="s">
        <v>506</v>
      </c>
    </row>
    <row r="210" spans="1:7" x14ac:dyDescent="0.3">
      <c r="A210" s="88">
        <v>46114</v>
      </c>
      <c r="B210" s="85" t="s">
        <v>466</v>
      </c>
      <c r="C210" s="85" t="s">
        <v>74</v>
      </c>
      <c r="D210" s="116">
        <v>0.5</v>
      </c>
      <c r="E210" s="92" t="s">
        <v>502</v>
      </c>
      <c r="F210" s="17" t="s">
        <v>507</v>
      </c>
      <c r="G210" s="106" t="s">
        <v>508</v>
      </c>
    </row>
    <row r="211" spans="1:7" x14ac:dyDescent="0.3">
      <c r="A211" s="88">
        <v>46114</v>
      </c>
      <c r="B211" s="85" t="s">
        <v>466</v>
      </c>
      <c r="C211" s="85" t="s">
        <v>20</v>
      </c>
      <c r="D211" s="116">
        <v>1</v>
      </c>
      <c r="E211" s="92" t="s">
        <v>509</v>
      </c>
      <c r="F211" s="17" t="s">
        <v>510</v>
      </c>
      <c r="G211" s="106" t="s">
        <v>511</v>
      </c>
    </row>
    <row r="212" spans="1:7" x14ac:dyDescent="0.3">
      <c r="A212" s="88">
        <v>46114</v>
      </c>
      <c r="B212" s="85" t="s">
        <v>466</v>
      </c>
      <c r="C212" s="85" t="s">
        <v>128</v>
      </c>
      <c r="D212" s="116">
        <v>0.75</v>
      </c>
      <c r="E212" s="92" t="s">
        <v>509</v>
      </c>
      <c r="F212" s="17" t="s">
        <v>512</v>
      </c>
      <c r="G212" s="106" t="s">
        <v>513</v>
      </c>
    </row>
    <row r="213" spans="1:7" x14ac:dyDescent="0.3">
      <c r="A213" s="88">
        <v>46114</v>
      </c>
      <c r="B213" s="85" t="s">
        <v>466</v>
      </c>
      <c r="C213" s="85" t="s">
        <v>128</v>
      </c>
      <c r="D213" s="116">
        <v>0.75</v>
      </c>
      <c r="E213" s="92" t="s">
        <v>509</v>
      </c>
      <c r="F213" s="17" t="s">
        <v>514</v>
      </c>
      <c r="G213" s="106" t="s">
        <v>515</v>
      </c>
    </row>
    <row r="214" spans="1:7" x14ac:dyDescent="0.3">
      <c r="A214" s="88">
        <v>46114</v>
      </c>
      <c r="B214" s="85" t="s">
        <v>466</v>
      </c>
      <c r="C214" s="85" t="s">
        <v>74</v>
      </c>
      <c r="D214" s="116">
        <v>0.5</v>
      </c>
      <c r="E214" s="92" t="s">
        <v>509</v>
      </c>
      <c r="F214" s="17" t="s">
        <v>516</v>
      </c>
      <c r="G214" s="106" t="s">
        <v>517</v>
      </c>
    </row>
    <row r="215" spans="1:7" x14ac:dyDescent="0.3">
      <c r="A215" s="88">
        <v>46114</v>
      </c>
      <c r="B215" s="85" t="s">
        <v>466</v>
      </c>
      <c r="C215" s="85" t="s">
        <v>74</v>
      </c>
      <c r="D215" s="116">
        <v>0.5</v>
      </c>
      <c r="E215" s="92" t="s">
        <v>509</v>
      </c>
      <c r="F215" s="17" t="s">
        <v>518</v>
      </c>
      <c r="G215" s="106" t="s">
        <v>519</v>
      </c>
    </row>
    <row r="216" spans="1:7" x14ac:dyDescent="0.3">
      <c r="A216" s="88">
        <v>46114</v>
      </c>
      <c r="B216" s="85" t="s">
        <v>466</v>
      </c>
      <c r="C216" s="85" t="s">
        <v>128</v>
      </c>
      <c r="D216" s="116">
        <v>0.75</v>
      </c>
      <c r="E216" s="92" t="s">
        <v>509</v>
      </c>
      <c r="F216" s="17" t="s">
        <v>520</v>
      </c>
      <c r="G216" s="106" t="s">
        <v>521</v>
      </c>
    </row>
    <row r="217" spans="1:7" x14ac:dyDescent="0.3">
      <c r="A217" s="88">
        <v>46115</v>
      </c>
      <c r="B217" s="85" t="s">
        <v>466</v>
      </c>
      <c r="C217" s="85" t="s">
        <v>74</v>
      </c>
      <c r="D217" s="116">
        <v>0.5</v>
      </c>
      <c r="E217" s="92" t="s">
        <v>509</v>
      </c>
      <c r="F217" s="17" t="s">
        <v>522</v>
      </c>
      <c r="G217" s="106" t="s">
        <v>523</v>
      </c>
    </row>
    <row r="218" spans="1:7" x14ac:dyDescent="0.3">
      <c r="A218" s="88">
        <v>46115</v>
      </c>
      <c r="B218" s="85" t="s">
        <v>466</v>
      </c>
      <c r="C218" s="85" t="s">
        <v>20</v>
      </c>
      <c r="D218" s="116">
        <v>1</v>
      </c>
      <c r="E218" s="92" t="s">
        <v>509</v>
      </c>
      <c r="F218" s="17" t="s">
        <v>524</v>
      </c>
      <c r="G218" s="106" t="s">
        <v>525</v>
      </c>
    </row>
    <row r="219" spans="1:7" x14ac:dyDescent="0.3">
      <c r="A219" s="88">
        <v>46115</v>
      </c>
      <c r="B219" s="85" t="s">
        <v>466</v>
      </c>
      <c r="C219" s="85" t="s">
        <v>128</v>
      </c>
      <c r="D219" s="116">
        <v>0.75</v>
      </c>
      <c r="E219" s="92" t="s">
        <v>509</v>
      </c>
      <c r="F219" s="17" t="s">
        <v>526</v>
      </c>
      <c r="G219" s="106" t="s">
        <v>527</v>
      </c>
    </row>
    <row r="220" spans="1:7" x14ac:dyDescent="0.3">
      <c r="A220" s="88">
        <v>46115</v>
      </c>
      <c r="B220" s="85" t="s">
        <v>466</v>
      </c>
      <c r="C220" s="85" t="s">
        <v>74</v>
      </c>
      <c r="D220" s="116">
        <v>0.5</v>
      </c>
      <c r="E220" s="92" t="s">
        <v>509</v>
      </c>
      <c r="F220" s="17" t="s">
        <v>528</v>
      </c>
      <c r="G220" s="106" t="s">
        <v>529</v>
      </c>
    </row>
    <row r="221" spans="1:7" x14ac:dyDescent="0.3">
      <c r="A221" s="88">
        <v>46115</v>
      </c>
      <c r="B221" s="85" t="s">
        <v>466</v>
      </c>
      <c r="C221" s="85" t="s">
        <v>128</v>
      </c>
      <c r="D221" s="116">
        <v>0.75</v>
      </c>
      <c r="E221" s="92" t="s">
        <v>509</v>
      </c>
      <c r="F221" s="17" t="s">
        <v>530</v>
      </c>
      <c r="G221" s="106" t="s">
        <v>531</v>
      </c>
    </row>
    <row r="222" spans="1:7" x14ac:dyDescent="0.3">
      <c r="A222" s="88">
        <v>46115</v>
      </c>
      <c r="B222" s="85" t="s">
        <v>466</v>
      </c>
      <c r="C222" s="85" t="s">
        <v>128</v>
      </c>
      <c r="D222" s="116">
        <v>0.75</v>
      </c>
      <c r="E222" s="92" t="s">
        <v>509</v>
      </c>
      <c r="F222" s="17" t="s">
        <v>532</v>
      </c>
      <c r="G222" s="106" t="s">
        <v>533</v>
      </c>
    </row>
    <row r="223" spans="1:7" x14ac:dyDescent="0.3">
      <c r="A223" s="88">
        <v>46115</v>
      </c>
      <c r="B223" s="85" t="s">
        <v>466</v>
      </c>
      <c r="C223" s="85" t="s">
        <v>74</v>
      </c>
      <c r="D223" s="116">
        <v>0.5</v>
      </c>
      <c r="E223" s="92" t="s">
        <v>509</v>
      </c>
      <c r="F223" s="17" t="s">
        <v>534</v>
      </c>
      <c r="G223" s="106" t="s">
        <v>535</v>
      </c>
    </row>
    <row r="224" spans="1:7" x14ac:dyDescent="0.3">
      <c r="A224" s="88">
        <v>46116</v>
      </c>
      <c r="B224" s="85" t="s">
        <v>536</v>
      </c>
      <c r="C224" s="85" t="s">
        <v>11</v>
      </c>
      <c r="D224" s="116">
        <v>2</v>
      </c>
      <c r="E224" s="107" t="s">
        <v>37</v>
      </c>
      <c r="F224" s="125">
        <v>6.1</v>
      </c>
      <c r="G224" s="106" t="s">
        <v>537</v>
      </c>
    </row>
    <row r="225" spans="1:7" x14ac:dyDescent="0.3">
      <c r="A225" s="88">
        <v>46116</v>
      </c>
      <c r="B225" s="85" t="s">
        <v>536</v>
      </c>
      <c r="C225" s="85" t="s">
        <v>11</v>
      </c>
      <c r="D225" s="116">
        <v>2</v>
      </c>
      <c r="E225" s="107" t="s">
        <v>37</v>
      </c>
      <c r="F225" s="125">
        <v>6.2</v>
      </c>
      <c r="G225" s="106" t="s">
        <v>538</v>
      </c>
    </row>
    <row r="226" spans="1:7" x14ac:dyDescent="0.3">
      <c r="A226" s="88">
        <v>46116</v>
      </c>
      <c r="B226" s="85" t="s">
        <v>536</v>
      </c>
      <c r="C226" s="85" t="s">
        <v>427</v>
      </c>
      <c r="D226" s="116">
        <v>1.5</v>
      </c>
      <c r="E226" s="107" t="s">
        <v>37</v>
      </c>
      <c r="F226" s="125">
        <v>6.3</v>
      </c>
      <c r="G226" s="106" t="s">
        <v>539</v>
      </c>
    </row>
    <row r="227" spans="1:7" x14ac:dyDescent="0.3">
      <c r="A227" s="88">
        <v>46116</v>
      </c>
      <c r="B227" s="85" t="s">
        <v>536</v>
      </c>
      <c r="C227" s="85" t="s">
        <v>20</v>
      </c>
      <c r="D227" s="116">
        <v>1</v>
      </c>
      <c r="E227" s="107" t="s">
        <v>37</v>
      </c>
      <c r="F227" s="125">
        <v>6.4</v>
      </c>
      <c r="G227" s="106" t="s">
        <v>540</v>
      </c>
    </row>
    <row r="228" spans="1:7" x14ac:dyDescent="0.3">
      <c r="A228" s="88">
        <v>46117</v>
      </c>
      <c r="B228" s="85" t="s">
        <v>536</v>
      </c>
      <c r="C228" s="85" t="s">
        <v>11</v>
      </c>
      <c r="D228" s="116">
        <v>2</v>
      </c>
      <c r="E228" s="107" t="s">
        <v>37</v>
      </c>
      <c r="F228" s="125">
        <v>6.5</v>
      </c>
      <c r="G228" s="106" t="s">
        <v>541</v>
      </c>
    </row>
    <row r="229" spans="1:7" x14ac:dyDescent="0.3">
      <c r="A229" s="88">
        <v>46117</v>
      </c>
      <c r="B229" s="85" t="s">
        <v>536</v>
      </c>
      <c r="C229" s="85" t="s">
        <v>20</v>
      </c>
      <c r="D229" s="116">
        <v>1</v>
      </c>
      <c r="E229" s="107" t="s">
        <v>37</v>
      </c>
      <c r="F229" s="125">
        <v>6.6</v>
      </c>
      <c r="G229" s="106" t="s">
        <v>542</v>
      </c>
    </row>
    <row r="230" spans="1:7" x14ac:dyDescent="0.3">
      <c r="A230" s="88">
        <v>46117</v>
      </c>
      <c r="B230" s="85" t="s">
        <v>536</v>
      </c>
      <c r="C230" s="85" t="s">
        <v>20</v>
      </c>
      <c r="D230" s="116">
        <v>1</v>
      </c>
      <c r="E230" s="107" t="s">
        <v>37</v>
      </c>
      <c r="F230" s="125">
        <v>6.7</v>
      </c>
      <c r="G230" s="106" t="s">
        <v>543</v>
      </c>
    </row>
    <row r="231" spans="1:7" x14ac:dyDescent="0.3">
      <c r="A231" s="88">
        <v>46118</v>
      </c>
      <c r="B231" s="85" t="s">
        <v>536</v>
      </c>
      <c r="C231" s="85" t="s">
        <v>427</v>
      </c>
      <c r="D231" s="116">
        <v>1.5</v>
      </c>
      <c r="E231" s="107" t="s">
        <v>37</v>
      </c>
      <c r="F231" s="125">
        <v>6.8</v>
      </c>
      <c r="G231" s="106" t="s">
        <v>544</v>
      </c>
    </row>
    <row r="232" spans="1:7" x14ac:dyDescent="0.3">
      <c r="A232" s="88">
        <v>46118</v>
      </c>
      <c r="B232" s="85" t="s">
        <v>536</v>
      </c>
      <c r="C232" s="85" t="s">
        <v>128</v>
      </c>
      <c r="D232" s="116">
        <v>0.75</v>
      </c>
      <c r="E232" s="107" t="s">
        <v>37</v>
      </c>
      <c r="F232" s="125">
        <v>6.9</v>
      </c>
      <c r="G232" s="106" t="s">
        <v>545</v>
      </c>
    </row>
    <row r="233" spans="1:7" x14ac:dyDescent="0.3">
      <c r="A233" s="108">
        <v>46118</v>
      </c>
      <c r="B233" s="109" t="s">
        <v>536</v>
      </c>
      <c r="C233" s="109" t="s">
        <v>74</v>
      </c>
      <c r="D233" s="118">
        <v>0.5</v>
      </c>
      <c r="E233" s="107" t="s">
        <v>37</v>
      </c>
      <c r="F233" s="125">
        <v>6.1</v>
      </c>
      <c r="G233" s="106" t="s">
        <v>546</v>
      </c>
    </row>
    <row r="234" spans="1:7" x14ac:dyDescent="0.3">
      <c r="A234" s="88">
        <v>46118</v>
      </c>
      <c r="B234" s="85" t="s">
        <v>536</v>
      </c>
      <c r="C234" s="85" t="s">
        <v>43</v>
      </c>
      <c r="D234" s="116">
        <v>0.25</v>
      </c>
      <c r="E234" s="107" t="s">
        <v>37</v>
      </c>
      <c r="F234" s="125">
        <v>6.11</v>
      </c>
      <c r="G234" s="106" t="s">
        <v>547</v>
      </c>
    </row>
    <row r="235" spans="1:7" x14ac:dyDescent="0.3">
      <c r="A235" s="111" t="s">
        <v>137</v>
      </c>
      <c r="B235" s="112"/>
      <c r="C235" s="112"/>
      <c r="D235" s="113"/>
      <c r="E235" s="122">
        <f>SUM(D6:D234)</f>
        <v>185.35</v>
      </c>
      <c r="F235" s="123"/>
      <c r="G235" s="124"/>
    </row>
  </sheetData>
  <mergeCells count="4">
    <mergeCell ref="A235:D235"/>
    <mergeCell ref="A3:G3"/>
    <mergeCell ref="A2:G2"/>
    <mergeCell ref="A1:G1"/>
  </mergeCells>
  <conditionalFormatting sqref="E6:E287">
    <cfRule type="cellIs" dxfId="20" priority="1" operator="equal">
      <formula>"0: Environment Setup"</formula>
    </cfRule>
    <cfRule type="cellIs" dxfId="19" priority="2" operator="equal">
      <formula>"1A: UI Mockups"</formula>
    </cfRule>
    <cfRule type="cellIs" dxfId="18" priority="3" operator="equal">
      <formula>"1B: Project Structure"</formula>
    </cfRule>
    <cfRule type="cellIs" dxfId="17" priority="4" operator="equal">
      <formula>"1C: Database Setup"</formula>
    </cfRule>
    <cfRule type="cellIs" dxfId="16" priority="5" operator="equal">
      <formula>"1D: Authentication Feature"</formula>
    </cfRule>
    <cfRule type="cellIs" dxfId="15" priority="6" operator="equal">
      <formula>"1E: Basic Navigation"</formula>
    </cfRule>
    <cfRule type="cellIs" dxfId="14" priority="7" operator="equal">
      <formula>"2A: Open AI Integration"</formula>
    </cfRule>
    <cfRule type="cellIs" dxfId="13" priority="8" operator="equal">
      <formula>"2B: Safety Layer - CTAS Rules"</formula>
    </cfRule>
    <cfRule type="cellIs" dxfId="12" priority="9" operator="equal">
      <formula>"2C: ML Model Training"</formula>
    </cfRule>
    <cfRule type="cellIs" dxfId="11" priority="10" operator="equal">
      <formula>"2D: Chatbot UI + Integration"</formula>
    </cfRule>
    <cfRule type="cellIs" dxfId="10" priority="11" operator="equal">
      <formula>"3A: Home Dashboard"</formula>
    </cfRule>
    <cfRule type="cellIs" dxfId="9" priority="12" operator="equal">
      <formula>"3B: My Dashboard - Personal Analytics"</formula>
    </cfRule>
    <cfRule type="cellIs" dxfId="8" priority="13" operator="equal">
      <formula>"3C: Facility Finder"</formula>
    </cfRule>
    <cfRule type="cellIs" dxfId="7" priority="14" operator="equal">
      <formula>"3D: Health Education Library"</formula>
    </cfRule>
    <cfRule type="cellIs" dxfId="6" priority="15" operator="equal">
      <formula>"4A: System Analytics Data"</formula>
    </cfRule>
    <cfRule type="cellIs" dxfId="5" priority="16" operator="equal">
      <formula>"4B: System Analytics Dashboard"</formula>
    </cfRule>
    <cfRule type="cellIs" dxfId="4" priority="17" operator="equal">
      <formula>"5A: Deployment"</formula>
    </cfRule>
    <cfRule type="cellIs" dxfId="3" priority="18" operator="equal">
      <formula>"5B: Testing"</formula>
    </cfRule>
    <cfRule type="cellIs" dxfId="2" priority="19" operator="equal">
      <formula>"6: Documentation + Submission"</formula>
    </cfRule>
    <cfRule type="cellIs" dxfId="1" priority="20" operator="equal">
      <formula>"Learning &amp; Research"</formula>
    </cfRule>
    <cfRule type="cellIs" dxfId="0" priority="21" operator="equal">
      <formula>"Proof of Concept"</formula>
    </cfRule>
  </conditionalFormatting>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ErrorMessage="1" errorTitle="Invalid Category" error="Please select a category from the dropdown list." xr:uid="{00000000-0002-0000-0000-000000000000}">
          <x14:formula1>
            <xm:f>Categories!$A$4:$A$25</xm:f>
          </x14:formula1>
          <xm:sqref>E6:E287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8"/>
  <sheetViews>
    <sheetView zoomScale="85" zoomScaleNormal="85" workbookViewId="0">
      <selection activeCell="W30" sqref="W30"/>
    </sheetView>
  </sheetViews>
  <sheetFormatPr defaultRowHeight="14.4" x14ac:dyDescent="0.3"/>
  <cols>
    <col min="1" max="1" width="35" customWidth="1"/>
    <col min="2" max="14" width="8" customWidth="1"/>
  </cols>
  <sheetData>
    <row r="1" spans="1:14" ht="22.8" customHeight="1" x14ac:dyDescent="0.4">
      <c r="A1" s="105" t="s">
        <v>138</v>
      </c>
      <c r="B1" s="98"/>
      <c r="C1" s="98"/>
      <c r="D1" s="98"/>
      <c r="E1" s="98"/>
      <c r="F1" s="98"/>
      <c r="G1" s="98"/>
      <c r="H1" s="98"/>
      <c r="I1" s="98"/>
      <c r="J1" s="98"/>
      <c r="K1" s="98"/>
      <c r="L1" s="98"/>
      <c r="M1" s="98"/>
      <c r="N1" s="98"/>
    </row>
    <row r="3" spans="1:14" ht="15.6" customHeight="1" x14ac:dyDescent="0.3">
      <c r="A3" s="102" t="s">
        <v>139</v>
      </c>
      <c r="B3" s="98"/>
      <c r="C3" s="98"/>
      <c r="D3" s="98"/>
      <c r="E3" s="98"/>
    </row>
    <row r="4" spans="1:14" x14ac:dyDescent="0.3">
      <c r="A4" s="31" t="s">
        <v>4</v>
      </c>
      <c r="B4" s="31" t="s">
        <v>140</v>
      </c>
      <c r="C4" s="31" t="s">
        <v>141</v>
      </c>
      <c r="D4" s="31" t="s">
        <v>142</v>
      </c>
      <c r="E4" s="31" t="s">
        <v>143</v>
      </c>
    </row>
    <row r="5" spans="1:14" x14ac:dyDescent="0.3">
      <c r="A5" s="32">
        <v>0</v>
      </c>
      <c r="B5" s="33" t="s">
        <v>144</v>
      </c>
      <c r="C5" s="34">
        <v>5</v>
      </c>
      <c r="D5" s="35">
        <f>B46</f>
        <v>11.85</v>
      </c>
      <c r="E5" s="36">
        <f t="shared" ref="E5:E11" si="0">IF(C5=0,0,MIN(D5/C5,1))</f>
        <v>1</v>
      </c>
    </row>
    <row r="6" spans="1:14" x14ac:dyDescent="0.3">
      <c r="A6" s="37">
        <v>1</v>
      </c>
      <c r="B6" s="38" t="s">
        <v>145</v>
      </c>
      <c r="C6" s="34">
        <v>15</v>
      </c>
      <c r="D6" s="35">
        <f>SUM(B47:B51)</f>
        <v>14.26</v>
      </c>
      <c r="E6" s="36">
        <f t="shared" si="0"/>
        <v>0.95066666666666666</v>
      </c>
    </row>
    <row r="7" spans="1:14" x14ac:dyDescent="0.3">
      <c r="A7" s="39">
        <v>2</v>
      </c>
      <c r="B7" s="40" t="s">
        <v>146</v>
      </c>
      <c r="C7" s="34">
        <v>25</v>
      </c>
      <c r="D7" s="35">
        <f>SUM(B52:B55)</f>
        <v>29.990000000000002</v>
      </c>
      <c r="E7" s="36">
        <f t="shared" si="0"/>
        <v>1</v>
      </c>
    </row>
    <row r="8" spans="1:14" x14ac:dyDescent="0.3">
      <c r="A8" s="41">
        <v>3</v>
      </c>
      <c r="B8" s="42" t="s">
        <v>147</v>
      </c>
      <c r="C8" s="34">
        <v>20</v>
      </c>
      <c r="D8" s="35">
        <f>SUM(B56:B60)</f>
        <v>36.75</v>
      </c>
      <c r="E8" s="36">
        <f t="shared" si="0"/>
        <v>1</v>
      </c>
    </row>
    <row r="9" spans="1:14" x14ac:dyDescent="0.3">
      <c r="A9" s="43">
        <v>4</v>
      </c>
      <c r="B9" s="44" t="s">
        <v>148</v>
      </c>
      <c r="C9" s="34">
        <v>20</v>
      </c>
      <c r="D9" s="35">
        <f>SUM(B61:B62)</f>
        <v>8</v>
      </c>
      <c r="E9" s="36">
        <f t="shared" si="0"/>
        <v>0.4</v>
      </c>
    </row>
    <row r="10" spans="1:14" x14ac:dyDescent="0.3">
      <c r="A10" s="45">
        <v>5</v>
      </c>
      <c r="B10" s="46" t="s">
        <v>149</v>
      </c>
      <c r="C10" s="34">
        <v>15</v>
      </c>
      <c r="D10" s="35">
        <f>SUM(B63:B64)</f>
        <v>0</v>
      </c>
      <c r="E10" s="36">
        <f t="shared" si="0"/>
        <v>0</v>
      </c>
    </row>
    <row r="11" spans="1:14" x14ac:dyDescent="0.3">
      <c r="A11" s="47">
        <v>6</v>
      </c>
      <c r="B11" s="48" t="s">
        <v>150</v>
      </c>
      <c r="C11" s="34">
        <v>18</v>
      </c>
      <c r="D11" s="35">
        <f>SUM(B65)</f>
        <v>28.5</v>
      </c>
      <c r="E11" s="36">
        <f t="shared" si="0"/>
        <v>1</v>
      </c>
    </row>
    <row r="12" spans="1:14" x14ac:dyDescent="0.3">
      <c r="A12" s="49" t="s">
        <v>151</v>
      </c>
      <c r="B12" s="50"/>
      <c r="C12" s="51">
        <f>SUM(C5:C11)</f>
        <v>118</v>
      </c>
      <c r="D12" s="52">
        <f>SUM(D5:D11)</f>
        <v>129.35</v>
      </c>
      <c r="E12" s="53">
        <f>IF(C12=0,0,D12/C12)</f>
        <v>1.096186440677966</v>
      </c>
    </row>
    <row r="14" spans="1:14" ht="15.6" customHeight="1" x14ac:dyDescent="0.3">
      <c r="A14" s="103" t="s">
        <v>152</v>
      </c>
      <c r="B14" s="104"/>
      <c r="C14" s="104"/>
      <c r="D14" s="104"/>
      <c r="E14" s="104"/>
      <c r="F14" s="104"/>
      <c r="G14" s="104"/>
      <c r="H14" s="104"/>
      <c r="I14" s="104"/>
      <c r="J14" s="104"/>
      <c r="K14" s="104"/>
      <c r="L14" s="104"/>
      <c r="M14" s="104"/>
      <c r="N14" s="104"/>
    </row>
    <row r="15" spans="1:14" x14ac:dyDescent="0.3">
      <c r="A15" s="31" t="s">
        <v>153</v>
      </c>
      <c r="B15" s="31" t="s">
        <v>154</v>
      </c>
      <c r="C15" s="31" t="s">
        <v>155</v>
      </c>
      <c r="D15" s="31" t="s">
        <v>156</v>
      </c>
      <c r="E15" s="31" t="s">
        <v>157</v>
      </c>
      <c r="F15" s="31" t="s">
        <v>158</v>
      </c>
      <c r="G15" s="31" t="s">
        <v>159</v>
      </c>
      <c r="H15" s="31" t="s">
        <v>160</v>
      </c>
      <c r="I15" s="31" t="s">
        <v>161</v>
      </c>
      <c r="J15" s="31" t="s">
        <v>162</v>
      </c>
      <c r="K15" s="31" t="s">
        <v>163</v>
      </c>
      <c r="L15" s="31" t="s">
        <v>164</v>
      </c>
      <c r="M15" s="31" t="s">
        <v>165</v>
      </c>
      <c r="N15" s="31" t="s">
        <v>166</v>
      </c>
    </row>
    <row r="16" spans="1:14" x14ac:dyDescent="0.3">
      <c r="A16" s="54"/>
      <c r="B16" s="54" t="s">
        <v>167</v>
      </c>
      <c r="C16" s="54" t="s">
        <v>168</v>
      </c>
      <c r="D16" s="54" t="s">
        <v>169</v>
      </c>
      <c r="E16" s="54" t="s">
        <v>170</v>
      </c>
      <c r="F16" s="54" t="s">
        <v>171</v>
      </c>
      <c r="G16" s="54" t="s">
        <v>172</v>
      </c>
      <c r="H16" s="54" t="s">
        <v>173</v>
      </c>
      <c r="I16" s="54" t="s">
        <v>174</v>
      </c>
      <c r="J16" s="54" t="s">
        <v>175</v>
      </c>
      <c r="K16" s="54" t="s">
        <v>176</v>
      </c>
      <c r="L16" s="54" t="s">
        <v>177</v>
      </c>
      <c r="M16" s="54" t="s">
        <v>178</v>
      </c>
      <c r="N16" s="54" t="s">
        <v>179</v>
      </c>
    </row>
    <row r="17" spans="1:14" x14ac:dyDescent="0.3">
      <c r="A17" s="49" t="s">
        <v>180</v>
      </c>
      <c r="B17" s="55"/>
      <c r="C17" s="33"/>
      <c r="D17" s="50"/>
      <c r="E17" s="50"/>
      <c r="F17" s="50"/>
      <c r="G17" s="50"/>
      <c r="H17" s="50"/>
      <c r="I17" s="50"/>
      <c r="J17" s="50"/>
      <c r="K17" s="50"/>
      <c r="L17" s="50"/>
      <c r="M17" s="50"/>
      <c r="N17" s="50"/>
    </row>
    <row r="18" spans="1:14" x14ac:dyDescent="0.3">
      <c r="A18" s="49" t="s">
        <v>181</v>
      </c>
      <c r="B18" s="56"/>
      <c r="C18" s="38"/>
      <c r="D18" s="38"/>
      <c r="E18" s="50"/>
      <c r="F18" s="50"/>
      <c r="G18" s="50"/>
      <c r="H18" s="50"/>
      <c r="I18" s="50"/>
      <c r="J18" s="50"/>
      <c r="K18" s="50"/>
      <c r="L18" s="50"/>
      <c r="M18" s="50"/>
      <c r="N18" s="50"/>
    </row>
    <row r="19" spans="1:14" x14ac:dyDescent="0.3">
      <c r="A19" s="77" t="s">
        <v>182</v>
      </c>
      <c r="B19" s="50"/>
      <c r="C19" s="38"/>
      <c r="D19" s="57"/>
      <c r="E19" s="57"/>
      <c r="F19" s="50"/>
      <c r="G19" s="50"/>
      <c r="H19" s="50"/>
      <c r="I19" s="50"/>
      <c r="J19" s="50"/>
      <c r="K19" s="50"/>
      <c r="L19" s="50"/>
      <c r="M19" s="50"/>
      <c r="N19" s="50"/>
    </row>
    <row r="20" spans="1:14" x14ac:dyDescent="0.3">
      <c r="A20" s="77" t="s">
        <v>183</v>
      </c>
      <c r="B20" s="50"/>
      <c r="C20" s="38"/>
      <c r="D20" s="57"/>
      <c r="E20" s="50"/>
      <c r="F20" s="50"/>
      <c r="G20" s="50"/>
      <c r="H20" s="50"/>
      <c r="I20" s="50"/>
      <c r="J20" s="50"/>
      <c r="K20" s="50"/>
      <c r="L20" s="50"/>
      <c r="M20" s="50"/>
      <c r="N20" s="50"/>
    </row>
    <row r="21" spans="1:14" x14ac:dyDescent="0.3">
      <c r="A21" s="77" t="s">
        <v>184</v>
      </c>
      <c r="B21" s="50"/>
      <c r="C21" s="38"/>
      <c r="D21" s="57"/>
      <c r="E21" s="57"/>
      <c r="F21" s="50"/>
      <c r="G21" s="50"/>
      <c r="H21" s="50"/>
      <c r="I21" s="50"/>
      <c r="J21" s="50"/>
      <c r="K21" s="50"/>
      <c r="L21" s="50"/>
      <c r="M21" s="50"/>
      <c r="N21" s="50"/>
    </row>
    <row r="22" spans="1:14" x14ac:dyDescent="0.3">
      <c r="A22" s="77" t="s">
        <v>185</v>
      </c>
      <c r="B22" s="50"/>
      <c r="C22" s="38"/>
      <c r="D22" s="38"/>
      <c r="E22" s="57"/>
      <c r="F22" s="50"/>
      <c r="G22" s="50"/>
      <c r="H22" s="50"/>
      <c r="I22" s="50"/>
      <c r="J22" s="50"/>
      <c r="K22" s="50"/>
      <c r="L22" s="50"/>
      <c r="M22" s="50"/>
      <c r="N22" s="50"/>
    </row>
    <row r="23" spans="1:14" x14ac:dyDescent="0.3">
      <c r="A23" s="77" t="s">
        <v>186</v>
      </c>
      <c r="B23" s="50"/>
      <c r="C23" s="50"/>
      <c r="D23" s="38"/>
      <c r="E23" s="50"/>
      <c r="F23" s="58"/>
      <c r="G23" s="58"/>
      <c r="H23" s="50"/>
      <c r="I23" s="50"/>
      <c r="J23" s="50"/>
      <c r="K23" s="50"/>
      <c r="L23" s="50"/>
      <c r="M23" s="50"/>
      <c r="N23" s="50"/>
    </row>
    <row r="24" spans="1:14" x14ac:dyDescent="0.3">
      <c r="A24" s="49" t="s">
        <v>187</v>
      </c>
      <c r="B24" s="50"/>
      <c r="C24" s="50"/>
      <c r="D24" s="40"/>
      <c r="E24" s="40"/>
      <c r="F24" s="40"/>
      <c r="G24" s="50"/>
      <c r="H24" s="50"/>
      <c r="I24" s="50"/>
      <c r="J24" s="50"/>
      <c r="K24" s="50"/>
      <c r="L24" s="50"/>
      <c r="M24" s="50"/>
      <c r="N24" s="50"/>
    </row>
    <row r="25" spans="1:14" x14ac:dyDescent="0.3">
      <c r="A25" s="77" t="s">
        <v>188</v>
      </c>
      <c r="B25" s="50"/>
      <c r="C25" s="50"/>
      <c r="D25" s="40"/>
      <c r="E25" s="40"/>
      <c r="F25" s="58"/>
      <c r="G25" s="58"/>
      <c r="H25" s="50"/>
      <c r="I25" s="50"/>
      <c r="J25" s="50"/>
      <c r="K25" s="50"/>
      <c r="L25" s="50"/>
      <c r="M25" s="50"/>
      <c r="N25" s="50"/>
    </row>
    <row r="26" spans="1:14" x14ac:dyDescent="0.3">
      <c r="A26" s="77" t="s">
        <v>189</v>
      </c>
      <c r="B26" s="50"/>
      <c r="C26" s="50"/>
      <c r="D26" s="50"/>
      <c r="E26" s="40"/>
      <c r="F26" s="50"/>
      <c r="G26" s="58"/>
      <c r="H26" s="50"/>
      <c r="I26" s="50"/>
      <c r="J26" s="50"/>
      <c r="K26" s="50"/>
      <c r="L26" s="50"/>
      <c r="M26" s="50"/>
      <c r="N26" s="50"/>
    </row>
    <row r="27" spans="1:14" x14ac:dyDescent="0.3">
      <c r="A27" s="77" t="s">
        <v>190</v>
      </c>
      <c r="B27" s="50"/>
      <c r="C27" s="50"/>
      <c r="D27" s="50"/>
      <c r="E27" s="40"/>
      <c r="F27" s="40"/>
      <c r="G27" s="50"/>
      <c r="H27" s="59"/>
      <c r="I27" s="59"/>
      <c r="J27" s="50"/>
      <c r="K27" s="50"/>
      <c r="L27" s="50"/>
      <c r="M27" s="50"/>
      <c r="N27" s="50"/>
    </row>
    <row r="28" spans="1:14" x14ac:dyDescent="0.3">
      <c r="A28" s="77" t="s">
        <v>191</v>
      </c>
      <c r="B28" s="50"/>
      <c r="C28" s="50"/>
      <c r="D28" s="50"/>
      <c r="E28" s="50"/>
      <c r="F28" s="40"/>
      <c r="G28" s="50"/>
      <c r="H28" s="59"/>
      <c r="I28" s="50"/>
      <c r="J28" s="50"/>
      <c r="K28" s="50"/>
      <c r="L28" s="50"/>
      <c r="M28" s="50"/>
      <c r="N28" s="50"/>
    </row>
    <row r="29" spans="1:14" x14ac:dyDescent="0.3">
      <c r="A29" s="49" t="s">
        <v>192</v>
      </c>
      <c r="B29" s="50"/>
      <c r="C29" s="50"/>
      <c r="D29" s="50"/>
      <c r="E29" s="50"/>
      <c r="F29" s="42"/>
      <c r="G29" s="42"/>
      <c r="H29" s="42"/>
      <c r="I29" s="59"/>
      <c r="J29" s="50"/>
      <c r="K29" s="50"/>
      <c r="L29" s="50"/>
      <c r="M29" s="50"/>
      <c r="N29" s="50"/>
    </row>
    <row r="30" spans="1:14" x14ac:dyDescent="0.3">
      <c r="A30" s="77" t="s">
        <v>193</v>
      </c>
      <c r="B30" s="50"/>
      <c r="C30" s="50"/>
      <c r="D30" s="50"/>
      <c r="E30" s="50"/>
      <c r="F30" s="42"/>
      <c r="G30" s="42"/>
      <c r="H30" s="50"/>
      <c r="I30" s="59"/>
      <c r="J30" s="50"/>
      <c r="K30" s="50"/>
      <c r="L30" s="50"/>
      <c r="M30" s="50"/>
      <c r="N30" s="50"/>
    </row>
    <row r="31" spans="1:14" x14ac:dyDescent="0.3">
      <c r="A31" s="77" t="s">
        <v>194</v>
      </c>
      <c r="B31" s="50"/>
      <c r="C31" s="50"/>
      <c r="D31" s="50"/>
      <c r="E31" s="50"/>
      <c r="F31" s="50"/>
      <c r="G31" s="42"/>
      <c r="H31" s="50"/>
      <c r="I31" s="50"/>
      <c r="J31" s="60"/>
      <c r="K31" s="60"/>
      <c r="L31" s="50"/>
      <c r="M31" s="50"/>
      <c r="N31" s="50"/>
    </row>
    <row r="32" spans="1:14" x14ac:dyDescent="0.3">
      <c r="A32" s="77" t="s">
        <v>195</v>
      </c>
      <c r="B32" s="50"/>
      <c r="C32" s="50"/>
      <c r="D32" s="50"/>
      <c r="E32" s="50"/>
      <c r="F32" s="50"/>
      <c r="G32" s="42"/>
      <c r="H32" s="42"/>
      <c r="I32" s="50"/>
      <c r="J32" s="60"/>
      <c r="K32" s="50"/>
      <c r="L32" s="50"/>
      <c r="M32" s="50"/>
      <c r="N32" s="50"/>
    </row>
    <row r="33" spans="1:14" x14ac:dyDescent="0.3">
      <c r="A33" s="77" t="s">
        <v>196</v>
      </c>
      <c r="B33" s="50"/>
      <c r="C33" s="50"/>
      <c r="D33" s="50"/>
      <c r="E33" s="50"/>
      <c r="F33" s="50"/>
      <c r="G33" s="50"/>
      <c r="H33" s="42"/>
      <c r="I33" s="50"/>
      <c r="J33" s="60"/>
      <c r="K33" s="60"/>
      <c r="L33" s="50"/>
      <c r="M33" s="50"/>
      <c r="N33" s="50"/>
    </row>
    <row r="34" spans="1:14" x14ac:dyDescent="0.3">
      <c r="A34" s="77" t="s">
        <v>381</v>
      </c>
      <c r="B34" s="50"/>
      <c r="C34" s="50"/>
      <c r="D34" s="50"/>
      <c r="E34" s="50"/>
      <c r="F34" s="50"/>
      <c r="G34" s="50"/>
      <c r="H34" s="42"/>
      <c r="I34" s="50"/>
      <c r="J34" s="60"/>
      <c r="K34" s="60"/>
      <c r="L34" s="50"/>
      <c r="M34" s="50"/>
      <c r="N34" s="50"/>
    </row>
    <row r="35" spans="1:14" x14ac:dyDescent="0.3">
      <c r="A35" s="49" t="s">
        <v>197</v>
      </c>
      <c r="B35" s="50"/>
      <c r="C35" s="50"/>
      <c r="D35" s="50"/>
      <c r="E35" s="50"/>
      <c r="F35" s="50"/>
      <c r="G35" s="50"/>
      <c r="H35" s="44"/>
      <c r="I35" s="44"/>
      <c r="J35" s="44"/>
      <c r="K35" s="60"/>
      <c r="L35" s="50"/>
      <c r="M35" s="50"/>
      <c r="N35" s="50"/>
    </row>
    <row r="36" spans="1:14" x14ac:dyDescent="0.3">
      <c r="A36" s="77" t="s">
        <v>198</v>
      </c>
      <c r="B36" s="50"/>
      <c r="C36" s="50"/>
      <c r="D36" s="50"/>
      <c r="E36" s="50"/>
      <c r="F36" s="61" t="s">
        <v>199</v>
      </c>
      <c r="G36" s="50"/>
      <c r="H36" s="44"/>
      <c r="I36" s="44"/>
      <c r="J36" s="50"/>
      <c r="K36" s="50"/>
      <c r="L36" s="50"/>
      <c r="M36" s="50"/>
      <c r="N36" s="50"/>
    </row>
    <row r="37" spans="1:14" x14ac:dyDescent="0.3">
      <c r="A37" s="77" t="s">
        <v>200</v>
      </c>
      <c r="B37" s="50"/>
      <c r="C37" s="50"/>
      <c r="D37" s="50"/>
      <c r="E37" s="50"/>
      <c r="F37" s="50"/>
      <c r="G37" s="50"/>
      <c r="H37" s="50"/>
      <c r="I37" s="44"/>
      <c r="J37" s="44"/>
      <c r="K37" s="50"/>
      <c r="L37" s="50"/>
      <c r="M37" s="50"/>
      <c r="N37" s="61" t="s">
        <v>199</v>
      </c>
    </row>
    <row r="38" spans="1:14" x14ac:dyDescent="0.3">
      <c r="A38" s="49" t="s">
        <v>201</v>
      </c>
      <c r="B38" s="50"/>
      <c r="C38" s="50"/>
      <c r="D38" s="50"/>
      <c r="E38" s="50"/>
      <c r="F38" s="50"/>
      <c r="G38" s="50"/>
      <c r="H38" s="50"/>
      <c r="I38" s="50"/>
      <c r="J38" s="46"/>
      <c r="K38" s="46"/>
      <c r="L38" s="46"/>
      <c r="M38" s="50"/>
      <c r="N38" s="50"/>
    </row>
    <row r="39" spans="1:14" x14ac:dyDescent="0.3">
      <c r="A39" s="77" t="s">
        <v>202</v>
      </c>
      <c r="B39" s="50"/>
      <c r="C39" s="50"/>
      <c r="D39" s="50"/>
      <c r="E39" s="50"/>
      <c r="F39" s="50"/>
      <c r="G39" s="50"/>
      <c r="H39" s="50"/>
      <c r="I39" s="50"/>
      <c r="J39" s="46"/>
      <c r="K39" s="46"/>
      <c r="L39" s="50"/>
      <c r="M39" s="50"/>
      <c r="N39" s="50"/>
    </row>
    <row r="40" spans="1:14" x14ac:dyDescent="0.3">
      <c r="A40" s="77" t="s">
        <v>203</v>
      </c>
      <c r="B40" s="50"/>
      <c r="C40" s="50"/>
      <c r="D40" s="50"/>
      <c r="E40" s="50"/>
      <c r="F40" s="50"/>
      <c r="G40" s="50"/>
      <c r="H40" s="50"/>
      <c r="I40" s="50"/>
      <c r="J40" s="50"/>
      <c r="K40" s="46"/>
      <c r="L40" s="46"/>
      <c r="M40" s="50"/>
      <c r="N40" s="50"/>
    </row>
    <row r="41" spans="1:14" ht="15.6" customHeight="1" x14ac:dyDescent="0.3">
      <c r="A41" s="49" t="s">
        <v>204</v>
      </c>
      <c r="B41" s="50"/>
      <c r="C41" s="50"/>
      <c r="D41" s="50"/>
      <c r="E41" s="50"/>
      <c r="F41" s="50"/>
      <c r="G41" s="50"/>
      <c r="H41" s="50"/>
      <c r="I41" s="50"/>
      <c r="J41" s="50"/>
      <c r="K41" s="50"/>
      <c r="L41" s="48"/>
      <c r="M41" s="48"/>
      <c r="N41" s="48"/>
    </row>
    <row r="42" spans="1:14" ht="15.6" customHeight="1" x14ac:dyDescent="0.3">
      <c r="A42" s="76"/>
    </row>
    <row r="43" spans="1:14" x14ac:dyDescent="0.3">
      <c r="A43" s="2" t="s">
        <v>7</v>
      </c>
      <c r="B43" s="2" t="s">
        <v>6</v>
      </c>
      <c r="C43" s="71"/>
    </row>
    <row r="44" spans="1:14" ht="15.6" x14ac:dyDescent="0.3">
      <c r="A44" s="62" t="s">
        <v>205</v>
      </c>
      <c r="B44" s="4"/>
      <c r="C44" s="3"/>
    </row>
    <row r="45" spans="1:14" x14ac:dyDescent="0.3">
      <c r="A45" s="31" t="s">
        <v>7</v>
      </c>
      <c r="B45" s="63" t="s">
        <v>6</v>
      </c>
      <c r="C45" s="3"/>
    </row>
    <row r="46" spans="1:14" x14ac:dyDescent="0.3">
      <c r="A46" s="33" t="s">
        <v>12</v>
      </c>
      <c r="B46" s="35">
        <f>SUMIF('Work Log'!E:E,"0: Environment Setup",'Work Log'!D:D)</f>
        <v>11.85</v>
      </c>
      <c r="C46" s="3"/>
    </row>
    <row r="47" spans="1:14" x14ac:dyDescent="0.3">
      <c r="A47" s="38" t="s">
        <v>94</v>
      </c>
      <c r="B47" s="35">
        <f>SUMIF('Work Log'!E:E,"1A: UI Mockups",'Work Log'!D:D)</f>
        <v>2.81</v>
      </c>
      <c r="C47" s="3"/>
    </row>
    <row r="48" spans="1:14" x14ac:dyDescent="0.3">
      <c r="A48" s="38" t="s">
        <v>113</v>
      </c>
      <c r="B48" s="35">
        <f>SUMIF('Work Log'!E:E,"1B: Project Structure",'Work Log'!D:D)</f>
        <v>0.67</v>
      </c>
      <c r="C48" s="3"/>
    </row>
    <row r="49" spans="1:3" x14ac:dyDescent="0.3">
      <c r="A49" s="38" t="s">
        <v>121</v>
      </c>
      <c r="B49" s="35">
        <f>SUMIF('Work Log'!E:E,"1C: Database Setup",'Work Log'!D:D)</f>
        <v>3.18</v>
      </c>
      <c r="C49" s="3"/>
    </row>
    <row r="50" spans="1:3" x14ac:dyDescent="0.3">
      <c r="A50" s="38" t="s">
        <v>206</v>
      </c>
      <c r="B50" s="35">
        <f>SUMIF('Work Log'!E:E,"1D: Authentication Feature",'Work Log'!D:D)</f>
        <v>6</v>
      </c>
      <c r="C50" s="3"/>
    </row>
    <row r="51" spans="1:3" x14ac:dyDescent="0.3">
      <c r="A51" s="38" t="s">
        <v>207</v>
      </c>
      <c r="B51" s="35">
        <f>SUMIF('Work Log'!E:E,"1E: Basic Navigation",'Work Log'!D:D)</f>
        <v>1.5999999999999999</v>
      </c>
      <c r="C51" s="3"/>
    </row>
    <row r="52" spans="1:3" x14ac:dyDescent="0.3">
      <c r="A52" s="40" t="s">
        <v>208</v>
      </c>
      <c r="B52" s="35">
        <f>SUMIF('Work Log'!E:E,"2A: Open AI Integration",'Work Log'!D:D)</f>
        <v>2.08</v>
      </c>
      <c r="C52" s="3"/>
    </row>
    <row r="53" spans="1:3" x14ac:dyDescent="0.3">
      <c r="A53" s="40" t="s">
        <v>209</v>
      </c>
      <c r="B53" s="35">
        <f>SUMIF('Work Log'!E:E,"2B: Safety Layer - CTAS Rules",'Work Log'!D:D)</f>
        <v>2.75</v>
      </c>
      <c r="C53" s="3"/>
    </row>
    <row r="54" spans="1:3" x14ac:dyDescent="0.3">
      <c r="A54" s="40" t="s">
        <v>210</v>
      </c>
      <c r="B54" s="35">
        <f>SUMIF('Work Log'!E:E,"2C: ML Model Training",'Work Log'!D:D)</f>
        <v>9</v>
      </c>
      <c r="C54" s="3"/>
    </row>
    <row r="55" spans="1:3" x14ac:dyDescent="0.3">
      <c r="A55" s="40" t="s">
        <v>211</v>
      </c>
      <c r="B55" s="35">
        <f>SUMIF('Work Log'!E:E,"2D: Chatbot UI + Integration",'Work Log'!D:D)</f>
        <v>16.16</v>
      </c>
      <c r="C55" s="3"/>
    </row>
    <row r="56" spans="1:3" x14ac:dyDescent="0.3">
      <c r="A56" s="42" t="s">
        <v>212</v>
      </c>
      <c r="B56" s="35">
        <f>SUMIF('Work Log'!E:E,"3A: Home Dashboard",'Work Log'!D:D)</f>
        <v>6.75</v>
      </c>
      <c r="C56" s="3"/>
    </row>
    <row r="57" spans="1:3" x14ac:dyDescent="0.3">
      <c r="A57" s="42" t="s">
        <v>213</v>
      </c>
      <c r="B57" s="35">
        <f>SUMIF('Work Log'!E:E,"3B: My Dashboard - Personal Analytics ",'Work Log'!D:D)</f>
        <v>11.5</v>
      </c>
      <c r="C57" s="3"/>
    </row>
    <row r="58" spans="1:3" x14ac:dyDescent="0.3">
      <c r="A58" s="42" t="s">
        <v>214</v>
      </c>
      <c r="B58" s="35">
        <f>SUMIF('Work Log'!E:E,"3C: Facility Finder",'Work Log'!D:D)</f>
        <v>3.5</v>
      </c>
      <c r="C58" s="3"/>
    </row>
    <row r="59" spans="1:3" x14ac:dyDescent="0.3">
      <c r="A59" s="42" t="s">
        <v>215</v>
      </c>
      <c r="B59" s="35">
        <f>SUMIF('Work Log'!E:E,"3D: Health Education Library",'Work Log'!D:D)</f>
        <v>10.25</v>
      </c>
      <c r="C59" s="3"/>
    </row>
    <row r="60" spans="1:3" x14ac:dyDescent="0.3">
      <c r="A60" s="42" t="s">
        <v>413</v>
      </c>
      <c r="B60" s="35">
        <f>SUMIF('Work Log'!E:E,"3E: Multi-Turn Chatbot Enhancement",'Work Log'!D:D)</f>
        <v>4.75</v>
      </c>
      <c r="C60" s="3"/>
    </row>
    <row r="61" spans="1:3" x14ac:dyDescent="0.3">
      <c r="A61" s="44" t="s">
        <v>216</v>
      </c>
      <c r="B61" s="35">
        <f>SUMIF('Work Log'!E:E,"4A: System Analytics Data",'Work Log'!D:D)</f>
        <v>2.75</v>
      </c>
      <c r="C61" s="3"/>
    </row>
    <row r="62" spans="1:3" x14ac:dyDescent="0.3">
      <c r="A62" s="44" t="s">
        <v>217</v>
      </c>
      <c r="B62" s="35">
        <f>SUMIF('Work Log'!E:E,"4B: System Analytics Dashboard",'Work Log'!D:D)</f>
        <v>5.25</v>
      </c>
    </row>
    <row r="63" spans="1:3" x14ac:dyDescent="0.3">
      <c r="A63" s="46" t="s">
        <v>218</v>
      </c>
      <c r="B63" s="35">
        <f>SUMIF('Work Log'!E:E,"5A: Deployment",'Work Log'!D:D)</f>
        <v>0</v>
      </c>
    </row>
    <row r="64" spans="1:3" x14ac:dyDescent="0.3">
      <c r="A64" s="46" t="s">
        <v>219</v>
      </c>
      <c r="B64" s="35">
        <f>SUMIF('Work Log'!E:E,"5B: Testing",'Work Log'!D:D)</f>
        <v>0</v>
      </c>
    </row>
    <row r="65" spans="1:2" x14ac:dyDescent="0.3">
      <c r="A65" s="48" t="s">
        <v>37</v>
      </c>
      <c r="B65" s="35">
        <f>SUMIF('Work Log'!E:E,"6: Documentation + Submission",'Work Log'!D:D)</f>
        <v>28.5</v>
      </c>
    </row>
    <row r="66" spans="1:2" x14ac:dyDescent="0.3">
      <c r="A66" s="64" t="s">
        <v>17</v>
      </c>
      <c r="B66" s="35">
        <f>SUMIF('Work Log'!E:E,"Learning &amp; Research",'Work Log'!D:D)</f>
        <v>23.25</v>
      </c>
    </row>
    <row r="67" spans="1:2" x14ac:dyDescent="0.3">
      <c r="A67" s="65" t="s">
        <v>220</v>
      </c>
      <c r="B67" s="52">
        <f>SUMIF('Work Log'!E:E,"Proof of Concept",'Work Log'!D:D)</f>
        <v>0</v>
      </c>
    </row>
    <row r="68" spans="1:2" x14ac:dyDescent="0.3">
      <c r="A68" s="49" t="s">
        <v>151</v>
      </c>
      <c r="B68" s="90">
        <f>SUM(B46:B67)</f>
        <v>152.60000000000002</v>
      </c>
    </row>
  </sheetData>
  <mergeCells count="3">
    <mergeCell ref="A3:E3"/>
    <mergeCell ref="A14:N14"/>
    <mergeCell ref="A1:N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5"/>
  <sheetViews>
    <sheetView workbookViewId="0">
      <selection activeCell="C24" sqref="C24"/>
    </sheetView>
  </sheetViews>
  <sheetFormatPr defaultRowHeight="14.4" x14ac:dyDescent="0.3"/>
  <cols>
    <col min="1" max="1" width="33.109375" bestFit="1" customWidth="1"/>
    <col min="2" max="2" width="8" customWidth="1"/>
    <col min="3" max="3" width="50" customWidth="1"/>
  </cols>
  <sheetData>
    <row r="1" spans="1:3" ht="21" customHeight="1" x14ac:dyDescent="0.4">
      <c r="A1" s="5" t="s">
        <v>221</v>
      </c>
    </row>
    <row r="3" spans="1:3" x14ac:dyDescent="0.3">
      <c r="A3" s="6" t="s">
        <v>7</v>
      </c>
      <c r="B3" s="6" t="s">
        <v>4</v>
      </c>
      <c r="C3" s="6" t="s">
        <v>222</v>
      </c>
    </row>
    <row r="4" spans="1:3" x14ac:dyDescent="0.3">
      <c r="A4" s="7" t="s">
        <v>12</v>
      </c>
      <c r="B4" s="8">
        <v>0</v>
      </c>
      <c r="C4" t="s">
        <v>223</v>
      </c>
    </row>
    <row r="5" spans="1:3" x14ac:dyDescent="0.3">
      <c r="A5" s="9" t="s">
        <v>94</v>
      </c>
      <c r="B5" s="8">
        <v>1</v>
      </c>
      <c r="C5" t="s">
        <v>224</v>
      </c>
    </row>
    <row r="6" spans="1:3" x14ac:dyDescent="0.3">
      <c r="A6" s="9" t="s">
        <v>113</v>
      </c>
      <c r="B6" s="8">
        <v>1</v>
      </c>
      <c r="C6" t="s">
        <v>225</v>
      </c>
    </row>
    <row r="7" spans="1:3" x14ac:dyDescent="0.3">
      <c r="A7" s="9" t="s">
        <v>121</v>
      </c>
      <c r="B7" s="8">
        <v>1</v>
      </c>
      <c r="C7" t="s">
        <v>226</v>
      </c>
    </row>
    <row r="8" spans="1:3" x14ac:dyDescent="0.3">
      <c r="A8" s="9" t="s">
        <v>206</v>
      </c>
      <c r="B8" s="8">
        <v>1</v>
      </c>
      <c r="C8" t="s">
        <v>227</v>
      </c>
    </row>
    <row r="9" spans="1:3" x14ac:dyDescent="0.3">
      <c r="A9" s="9" t="s">
        <v>207</v>
      </c>
      <c r="B9" s="8">
        <v>1</v>
      </c>
      <c r="C9" t="s">
        <v>228</v>
      </c>
    </row>
    <row r="10" spans="1:3" x14ac:dyDescent="0.3">
      <c r="A10" s="10" t="s">
        <v>208</v>
      </c>
      <c r="B10" s="8">
        <v>2</v>
      </c>
      <c r="C10" t="s">
        <v>229</v>
      </c>
    </row>
    <row r="11" spans="1:3" x14ac:dyDescent="0.3">
      <c r="A11" s="10" t="s">
        <v>209</v>
      </c>
      <c r="B11" s="8">
        <v>2</v>
      </c>
      <c r="C11" t="s">
        <v>230</v>
      </c>
    </row>
    <row r="12" spans="1:3" x14ac:dyDescent="0.3">
      <c r="A12" s="10" t="s">
        <v>210</v>
      </c>
      <c r="B12" s="8">
        <v>2</v>
      </c>
      <c r="C12" t="s">
        <v>231</v>
      </c>
    </row>
    <row r="13" spans="1:3" x14ac:dyDescent="0.3">
      <c r="A13" s="10" t="s">
        <v>211</v>
      </c>
      <c r="B13" s="8">
        <v>2</v>
      </c>
      <c r="C13" t="s">
        <v>232</v>
      </c>
    </row>
    <row r="14" spans="1:3" x14ac:dyDescent="0.3">
      <c r="A14" s="11" t="s">
        <v>212</v>
      </c>
      <c r="B14" s="8">
        <v>3</v>
      </c>
      <c r="C14" t="s">
        <v>233</v>
      </c>
    </row>
    <row r="15" spans="1:3" x14ac:dyDescent="0.3">
      <c r="A15" s="11" t="s">
        <v>234</v>
      </c>
      <c r="B15" s="8">
        <v>3</v>
      </c>
    </row>
    <row r="16" spans="1:3" x14ac:dyDescent="0.3">
      <c r="A16" s="11" t="s">
        <v>214</v>
      </c>
      <c r="B16" s="8">
        <v>3</v>
      </c>
      <c r="C16" t="s">
        <v>235</v>
      </c>
    </row>
    <row r="17" spans="1:3" x14ac:dyDescent="0.3">
      <c r="A17" s="11" t="s">
        <v>215</v>
      </c>
      <c r="B17" s="8">
        <v>3</v>
      </c>
      <c r="C17" t="s">
        <v>236</v>
      </c>
    </row>
    <row r="18" spans="1:3" x14ac:dyDescent="0.3">
      <c r="A18" s="11" t="s">
        <v>413</v>
      </c>
      <c r="B18" s="8">
        <v>3</v>
      </c>
      <c r="C18" t="s">
        <v>414</v>
      </c>
    </row>
    <row r="19" spans="1:3" x14ac:dyDescent="0.3">
      <c r="A19" s="12" t="s">
        <v>216</v>
      </c>
      <c r="B19" s="8">
        <v>4</v>
      </c>
      <c r="C19" t="s">
        <v>237</v>
      </c>
    </row>
    <row r="20" spans="1:3" x14ac:dyDescent="0.3">
      <c r="A20" s="12" t="s">
        <v>217</v>
      </c>
      <c r="B20" s="8">
        <v>4</v>
      </c>
      <c r="C20" t="s">
        <v>238</v>
      </c>
    </row>
    <row r="21" spans="1:3" x14ac:dyDescent="0.3">
      <c r="A21" s="13" t="s">
        <v>218</v>
      </c>
      <c r="B21" s="8">
        <v>5</v>
      </c>
      <c r="C21" t="s">
        <v>239</v>
      </c>
    </row>
    <row r="22" spans="1:3" x14ac:dyDescent="0.3">
      <c r="A22" s="13" t="s">
        <v>219</v>
      </c>
      <c r="B22" s="8">
        <v>5</v>
      </c>
      <c r="C22" t="s">
        <v>240</v>
      </c>
    </row>
    <row r="23" spans="1:3" x14ac:dyDescent="0.3">
      <c r="A23" s="30" t="s">
        <v>37</v>
      </c>
      <c r="B23" s="8">
        <v>6</v>
      </c>
      <c r="C23" t="s">
        <v>241</v>
      </c>
    </row>
    <row r="24" spans="1:3" x14ac:dyDescent="0.3">
      <c r="A24" s="14" t="s">
        <v>17</v>
      </c>
      <c r="B24" s="8" t="s">
        <v>242</v>
      </c>
      <c r="C24" t="s">
        <v>243</v>
      </c>
    </row>
    <row r="25" spans="1:3" x14ac:dyDescent="0.3">
      <c r="A25" s="15" t="s">
        <v>220</v>
      </c>
      <c r="B25" t="s">
        <v>242</v>
      </c>
      <c r="C25" t="s">
        <v>244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Work Log</vt:lpstr>
      <vt:lpstr>Dashboard</vt:lpstr>
      <vt:lpstr>Categories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Desmond Chua</cp:lastModifiedBy>
  <dcterms:created xsi:type="dcterms:W3CDTF">2026-01-31T02:23:05Z</dcterms:created>
  <dcterms:modified xsi:type="dcterms:W3CDTF">2026-04-06T21:02:46Z</dcterms:modified>
</cp:coreProperties>
</file>