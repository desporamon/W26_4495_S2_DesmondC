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d4f25ae689476683/Desmond_New/Winter2026_DouglasCollege/"/>
    </mc:Choice>
  </mc:AlternateContent>
  <xr:revisionPtr revIDLastSave="29" documentId="8_{08655895-4010-492B-B73A-F5D36A9F8AF8}" xr6:coauthVersionLast="47" xr6:coauthVersionMax="47" xr10:uidLastSave="{081EE152-0B2A-4F77-9E31-2A0711B7E302}"/>
  <bookViews>
    <workbookView xWindow="-120" yWindow="-16320" windowWidth="29040" windowHeight="15720" xr2:uid="{00000000-000D-0000-FFFF-FFFF00000000}"/>
  </bookViews>
  <sheets>
    <sheet name="Work Log" sheetId="1" r:id="rId1"/>
    <sheet name="Dashboard" sheetId="2" r:id="rId2"/>
    <sheet name="Categori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2" l="1"/>
  <c r="E11" i="2" s="1"/>
  <c r="D10" i="2"/>
  <c r="D9" i="2"/>
  <c r="E9" i="2" s="1"/>
  <c r="D8" i="2"/>
  <c r="E8" i="2" s="1"/>
  <c r="D7" i="2"/>
  <c r="E7" i="2" s="1"/>
  <c r="D6" i="2"/>
  <c r="D5" i="2"/>
  <c r="E148" i="1"/>
  <c r="B47" i="2"/>
  <c r="B45" i="2"/>
  <c r="C12" i="2"/>
  <c r="E10" i="2"/>
  <c r="E6" i="2"/>
  <c r="D12" i="2" l="1"/>
  <c r="E12" i="2" s="1"/>
  <c r="B48" i="2"/>
  <c r="B52" i="2"/>
  <c r="B56" i="2"/>
  <c r="B60" i="2"/>
  <c r="E5" i="2"/>
  <c r="B49" i="2"/>
  <c r="B53" i="2"/>
  <c r="B57" i="2"/>
  <c r="B61" i="2"/>
  <c r="B62" i="2"/>
  <c r="B46" i="2"/>
  <c r="B50" i="2"/>
  <c r="B54" i="2"/>
  <c r="B58" i="2"/>
  <c r="B63" i="2"/>
  <c r="B64" i="2"/>
  <c r="B51" i="2"/>
  <c r="B55" i="2"/>
  <c r="B59" i="2"/>
  <c r="B65" i="2"/>
  <c r="B66" i="2" l="1"/>
</calcChain>
</file>

<file path=xl/sharedStrings.xml><?xml version="1.0" encoding="utf-8"?>
<sst xmlns="http://schemas.openxmlformats.org/spreadsheetml/2006/main" count="510" uniqueCount="278">
  <si>
    <t>CSIS 4495 - Applied Research Project</t>
  </si>
  <si>
    <t>Work Log - Desmond Chua (300369803)</t>
  </si>
  <si>
    <t>BC Personal Health Management Platform</t>
  </si>
  <si>
    <t>Date</t>
  </si>
  <si>
    <t>Sprint</t>
  </si>
  <si>
    <t>Duration</t>
  </si>
  <si>
    <t>Hours</t>
  </si>
  <si>
    <t>Category</t>
  </si>
  <si>
    <t>Task ID</t>
  </si>
  <si>
    <t>Description of Work Done</t>
  </si>
  <si>
    <t>2026-01-09</t>
  </si>
  <si>
    <t>2 hr</t>
  </si>
  <si>
    <t>0: Environment Setup</t>
  </si>
  <si>
    <t>Attended CSIS 4495 class; reviewed project requirements; brainstormed initial ideas based on Richmond Hospital experience</t>
  </si>
  <si>
    <t>1.5 hr</t>
  </si>
  <si>
    <t>Researched BC healthcare navigation tools; identified gap in existing solutions</t>
  </si>
  <si>
    <t>2026-01-15</t>
  </si>
  <si>
    <t>Learning &amp; Research</t>
  </si>
  <si>
    <t>Drafted initial chatbot concept; researched CTAS triage guidelines</t>
  </si>
  <si>
    <t>2026-01-16</t>
  </si>
  <si>
    <t>1 hr</t>
  </si>
  <si>
    <t>Meeting #1 with instructor; received feedback to broaden scope; began expanding to multi-feature platform</t>
  </si>
  <si>
    <t>2026-01-17</t>
  </si>
  <si>
    <t>2.5 hr</t>
  </si>
  <si>
    <t>Researched OpenAI API documentation; explored integration options</t>
  </si>
  <si>
    <t>2026-01-18</t>
  </si>
  <si>
    <t>Meeting #2 with instructor (virtual); Option 1 approved; received guidance on focus areas</t>
  </si>
  <si>
    <t>2026-01-19</t>
  </si>
  <si>
    <t>3 hr</t>
  </si>
  <si>
    <t>Designed hybrid classification approach; researched Kaggle symptom datasets</t>
  </si>
  <si>
    <t>2026-01-20</t>
  </si>
  <si>
    <t>Created GitHub repository; set up project structure</t>
  </si>
  <si>
    <t>2026-01-21</t>
  </si>
  <si>
    <t>Researched ML analytics techniques for dashboards; planned Power BI integration</t>
  </si>
  <si>
    <t>2026-01-22</t>
  </si>
  <si>
    <t>Explored synthetic data generation approaches; documented data strategy</t>
  </si>
  <si>
    <t>2026-01-23</t>
  </si>
  <si>
    <t>6: Documentation + Submission</t>
  </si>
  <si>
    <t>Drafted proposal introduction and literature review sections</t>
  </si>
  <si>
    <t>2026-01-24</t>
  </si>
  <si>
    <t>3.5 hr</t>
  </si>
  <si>
    <t>Completed methodology section; created technical architecture diagram</t>
  </si>
  <si>
    <t>2026-01-30</t>
  </si>
  <si>
    <t>15 min</t>
  </si>
  <si>
    <t>0.1</t>
  </si>
  <si>
    <t>Install Python 3.13+ and verify installation</t>
  </si>
  <si>
    <t>0.2</t>
  </si>
  <si>
    <t>Install Visual Studio Code with Claude Code extension</t>
  </si>
  <si>
    <t>0.3</t>
  </si>
  <si>
    <t>Create GitHub repo (W26_4495_S2_DesmondC); set up folder structure; add instructor as collaborator</t>
  </si>
  <si>
    <t>0.4a</t>
  </si>
  <si>
    <t>Create OpenAI account; add $5 API credit</t>
  </si>
  <si>
    <t>5 min</t>
  </si>
  <si>
    <t>0.4b</t>
  </si>
  <si>
    <t>Create OpenAI API key (BC-Health-Platform)</t>
  </si>
  <si>
    <t>Attended CSIS 4495 Lesson 4 class; individual check-in with instructor; received feedback on project approach</t>
  </si>
  <si>
    <t>10 min</t>
  </si>
  <si>
    <t>0.5</t>
  </si>
  <si>
    <t>Created Streamlit Cloud account; connected with GitHub for deployment</t>
  </si>
  <si>
    <t>0.6</t>
  </si>
  <si>
    <t>Created Python virtual environment (venv) for isolated project dependencies</t>
  </si>
  <si>
    <t>0.7</t>
  </si>
  <si>
    <t>Installed packages: streamlit, openai, pandas, scikit-learn, plotly, folium, python-dotenv, numpy, nltk, sqlalchemy, spacy</t>
  </si>
  <si>
    <t>0.8</t>
  </si>
  <si>
    <t>Ran 'streamlit hello' to verify Streamlit installation; demo app loaded successfully at localhost:8501</t>
  </si>
  <si>
    <t>0.9</t>
  </si>
  <si>
    <t>Created requirements.txt using pip freeze; removed spacy model reference for clean deployment</t>
  </si>
  <si>
    <t>2026-01-31</t>
  </si>
  <si>
    <t>25 min</t>
  </si>
  <si>
    <t>L2</t>
  </si>
  <si>
    <t>Udemy Streamlit ML Deployment - Lesson 2: Installation and Setup (virtual environments, Python 3.8-3.12, streamlit hello)</t>
  </si>
  <si>
    <t>35 min</t>
  </si>
  <si>
    <t>L3</t>
  </si>
  <si>
    <t>Udemy Streamlit ML Deployment - Lesson 3: Overview of Streamlit (data flow concept, caching preview, key features)</t>
  </si>
  <si>
    <t>30 min</t>
  </si>
  <si>
    <t>L4</t>
  </si>
  <si>
    <t>Udemy Streamlit ML Deployment - Lesson 4: Creating Basic Streamlit App (main.py, st.text, auto-reload workflow)</t>
  </si>
  <si>
    <t>2026-02-01</t>
  </si>
  <si>
    <t>L5</t>
  </si>
  <si>
    <t>Udemy Streamlit ML Deployment - Lesson 5: Text Elements (st.title, st.header, st.markdown, st.code, st.latex)</t>
  </si>
  <si>
    <t>20 min</t>
  </si>
  <si>
    <t>L6</t>
  </si>
  <si>
    <t>Udemy Streamlit ML Deployment - Lesson 6: Data Display Elements (st.dataframe, st.table, st.metric for KPIs)</t>
  </si>
  <si>
    <t>L7</t>
  </si>
  <si>
    <t>Udemy Streamlit ML Deployment - Lesson 7: Charting Elements (st.line_chart, st.bar_chart, st.area_chart, st.map)</t>
  </si>
  <si>
    <t>L8-9</t>
  </si>
  <si>
    <t>Udemy Streamlit ML Deployment - Lessons 8-9: Input Widgets (st.button, st.checkbox, st.radio, st.selectbox, st.slider)</t>
  </si>
  <si>
    <t>L10</t>
  </si>
  <si>
    <t>Udemy Streamlit ML Deployment - Lesson 10: Forms (st.form, form_submit_button, batch submissions)</t>
  </si>
  <si>
    <t>L11</t>
  </si>
  <si>
    <t>Udemy Streamlit ML Deployment - Lesson 11: Layout Elements (st.sidebar, st.columns, st.tabs, st.expander)</t>
  </si>
  <si>
    <t>40 min</t>
  </si>
  <si>
    <t>L12-13</t>
  </si>
  <si>
    <t>Udemy Streamlit ML Deployment - Lessons 12-13: Capstone (Canada unemployment dashboard with forms, tabs, metrics, matplotlib)</t>
  </si>
  <si>
    <t>Sprint 1</t>
  </si>
  <si>
    <t>1A: UI Mockups</t>
  </si>
  <si>
    <t>1A.1</t>
  </si>
  <si>
    <t>Create Mockup 1a - Login page design using UX Pilot</t>
  </si>
  <si>
    <t>1A.2</t>
  </si>
  <si>
    <t>Create Mockup 1b - Register page with health profile using UX Pilot</t>
  </si>
  <si>
    <t>1A.3</t>
  </si>
  <si>
    <t>Create Mockup 2a - Home Dashboard design using UX Pilot</t>
  </si>
  <si>
    <t>1A.4</t>
  </si>
  <si>
    <t>Create Mockup 2b - Facility Finder page design using UX Pilot</t>
  </si>
  <si>
    <t>1A.5</t>
  </si>
  <si>
    <t>Create Mockup 2c - Health Library page design using UX Pilot</t>
  </si>
  <si>
    <t>1A.6</t>
  </si>
  <si>
    <t>Create Mockup 3 - Chatbot Interface design using UX Pilot</t>
  </si>
  <si>
    <t>1A.7</t>
  </si>
  <si>
    <t>Create Mockup 4 - My Dashboard (Personal) design using UX Pilot</t>
  </si>
  <si>
    <t>1A.8</t>
  </si>
  <si>
    <t>Create Mockup 5 - System Analytics page design using UX Pilot</t>
  </si>
  <si>
    <t>1A.9</t>
  </si>
  <si>
    <t>Organize all mockup files in Misc/design/ folder</t>
  </si>
  <si>
    <t>1B: Project Structure</t>
  </si>
  <si>
    <t>1B.1</t>
  </si>
  <si>
    <t>Create folder structure (src/, pages/, components/, .streamlit/, data/)</t>
  </si>
  <si>
    <t>1B.2</t>
  </si>
  <si>
    <t>Create .streamlit/config.toml with VCH theme colors (teal #006271, blue #0078AE)</t>
  </si>
  <si>
    <t>1B.3</t>
  </si>
  <si>
    <t>Create empty placeholder files for all pages</t>
  </si>
  <si>
    <t>2026-02-02</t>
  </si>
  <si>
    <t>1C: Database Setup</t>
  </si>
  <si>
    <t>1C.1</t>
  </si>
  <si>
    <t>Create components/database.py - Initialize SQLite database module using Claude Code</t>
  </si>
  <si>
    <t>1C.2</t>
  </si>
  <si>
    <t>Create users table schema (id, name, email, password_hash, age, gender, region, health_conditions)</t>
  </si>
  <si>
    <t>1C.3</t>
  </si>
  <si>
    <t>Create assessments table schema (id, user_id, symptoms, extracted_symptoms, urgency_level, recommendation)</t>
  </si>
  <si>
    <t>45 min</t>
  </si>
  <si>
    <t>1C.4</t>
  </si>
  <si>
    <t>Implement user CRUD functions (create_user, get_user_by_email, get_user_by_id, update_user, verify_user_exists)</t>
  </si>
  <si>
    <t>1C.5</t>
  </si>
  <si>
    <t>Implement assessment CRUD functions (save_assessment, get_user_assessments, get_assessment_by_id, get_assessment_stats)</t>
  </si>
  <si>
    <t>1C.6</t>
  </si>
  <si>
    <t>Test database with dummy data; Install SQLite Viewer VS Code extension; Verify tables</t>
  </si>
  <si>
    <t>1C.7</t>
  </si>
  <si>
    <t>Git commit and push: 'Sprint 1C complete: Database setup with users and assessments tables'</t>
  </si>
  <si>
    <t>TOTAL HOURS</t>
  </si>
  <si>
    <t>PROJECT PROGRESS DASHBOARD</t>
  </si>
  <si>
    <t>SPRINT PROGRESS SUMMARY</t>
  </si>
  <si>
    <t>Phase Name</t>
  </si>
  <si>
    <t>Target Hours</t>
  </si>
  <si>
    <t>Actual Hours</t>
  </si>
  <si>
    <t>% Complete</t>
  </si>
  <si>
    <t>Environment Setup</t>
  </si>
  <si>
    <t>Basic App Structure</t>
  </si>
  <si>
    <t>Symptom Chatbot</t>
  </si>
  <si>
    <t>Features 3A-3D</t>
  </si>
  <si>
    <t>System Analytics</t>
  </si>
  <si>
    <t>Deployment &amp; Testing</t>
  </si>
  <si>
    <t>Documentation + Submission</t>
  </si>
  <si>
    <t>TOTAL</t>
  </si>
  <si>
    <t>GANTT CHART - PROJECT TIMELINE</t>
  </si>
  <si>
    <t>Phase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</si>
  <si>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</si>
  <si>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</si>
  <si>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</si>
  <si>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</si>
  <si>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</si>
  <si>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</si>
  <si>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</si>
  <si>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</si>
  <si>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</si>
  <si>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</si>
  <si>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</si>
  <si>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</si>
  <si>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</si>
  <si>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Jan 27</t>
  </si>
  <si>
    <t>Feb 3</t>
  </si>
  <si>
    <t>Feb 10</t>
  </si>
  <si>
    <t>Feb 17</t>
  </si>
  <si>
    <t>Feb 24</t>
  </si>
  <si>
    <t>Mar 3</t>
  </si>
  <si>
    <t>Mar 10</t>
  </si>
  <si>
    <t>Mar 17</t>
  </si>
  <si>
    <t>Mar 24</t>
  </si>
  <si>
    <t>Mar 31</t>
  </si>
  <si>
    <t>Apr 7</t>
  </si>
  <si>
    <t>Apr 14</t>
  </si>
  <si>
    <t>Apr 21</t>
  </si>
  <si>
    <t>Sprint 0: Environment Setup</t>
  </si>
  <si>
    <t>Sprint 1: Basic App Structure</t>
  </si>
  <si>
    <t xml:space="preserve">   1A: UI Mockups</t>
  </si>
  <si>
    <t xml:space="preserve">   1B: Project Structure</t>
  </si>
  <si>
    <t xml:space="preserve">   1C: Database Setup</t>
  </si>
  <si>
    <t xml:space="preserve">   1D: Authentication Feature</t>
  </si>
  <si>
    <t xml:space="preserve">   1E: Basic Navigation</t>
  </si>
  <si>
    <t>Sprint 2: Symptom Chatbot</t>
  </si>
  <si>
    <t xml:space="preserve">   2A: Open AI Integration</t>
  </si>
  <si>
    <t xml:space="preserve">   2B: Safety Layer - CTAS Rules</t>
  </si>
  <si>
    <t xml:space="preserve">   2C: ML Model Training</t>
  </si>
  <si>
    <t xml:space="preserve">   2D: Chatbot UI + Integration</t>
  </si>
  <si>
    <t>Sprint 3: Features 3A-3D</t>
  </si>
  <si>
    <t xml:space="preserve">   3A: Home Dashboard</t>
  </si>
  <si>
    <t xml:space="preserve">   3B: My Dashboard - Personal Analytics</t>
  </si>
  <si>
    <t xml:space="preserve">   3C: Facility Finder</t>
  </si>
  <si>
    <t xml:space="preserve">   3D: Health Education Library</t>
  </si>
  <si>
    <t>Sprint 4: System Analytics</t>
  </si>
  <si>
    <t xml:space="preserve">   4A: System Analytics Data</t>
  </si>
  <si>
    <t>◆</t>
  </si>
  <si>
    <t xml:space="preserve">   4B: System Analytics Dashboard</t>
  </si>
  <si>
    <t>Sprint 5: Deployment &amp; Testing</t>
  </si>
  <si>
    <t xml:space="preserve">   5A: Deployment</t>
  </si>
  <si>
    <t xml:space="preserve">   5B: Testing</t>
  </si>
  <si>
    <t>Sprint 6: Documentation</t>
  </si>
  <si>
    <t>HOURS BY CATEGORY</t>
  </si>
  <si>
    <t>1D: Authentication Feature</t>
  </si>
  <si>
    <t>1E: Basic Navigation</t>
  </si>
  <si>
    <t>2A: Open AI Integration</t>
  </si>
  <si>
    <t>2B: Safety Layer - CTAS Rules</t>
  </si>
  <si>
    <t>2C: ML Model Training</t>
  </si>
  <si>
    <t>2D: Chatbot UI + Integration</t>
  </si>
  <si>
    <t>3A: Home Dashboard</t>
  </si>
  <si>
    <t>3B: My Dashboard - Personal Analytics</t>
  </si>
  <si>
    <t>3C: Facility Finder</t>
  </si>
  <si>
    <t>3D: Health Education Library</t>
  </si>
  <si>
    <t>4A: System Analytics Data</t>
  </si>
  <si>
    <t>4B: System Analytics Dashboard</t>
  </si>
  <si>
    <t>5A: Deployment</t>
  </si>
  <si>
    <t>5B: Testing</t>
  </si>
  <si>
    <t>Proof of Concept</t>
  </si>
  <si>
    <t>Category Reference</t>
  </si>
  <si>
    <t>Description</t>
  </si>
  <si>
    <t>Python, VS Code, GitHub, OpenAI API, Streamlit Cloud setup</t>
  </si>
  <si>
    <t>Create UI mockups for all pages using UX Pilot</t>
  </si>
  <si>
    <t>Create folder structure, config.toml, placeholder files</t>
  </si>
  <si>
    <t>SQLite database, users/assessments tables, CRUD functions</t>
  </si>
  <si>
    <t>Login, register, logout, session management with bcrypt</t>
  </si>
  <si>
    <t>Multi-page navigation, sidebar, page routing</t>
  </si>
  <si>
    <t>OpenAI API setup, symptom extraction prompts</t>
  </si>
  <si>
    <t>Rule-based critical symptom detection (CTAS guidelines)</t>
  </si>
  <si>
    <t>Kaggle data, Random Forest training, model.pkl</t>
  </si>
  <si>
    <t>Chat interface, session state, urgency display, integration</t>
  </si>
  <si>
    <t>Home page with welcome message, quick stats, navigation cards</t>
  </si>
  <si>
    <t xml:space="preserve">3B: My Dashboard - Personal Analytics </t>
  </si>
  <si>
    <t>BC facilities data, Folium map, filters by region/type</t>
  </si>
  <si>
    <t>Health topics JSON, search, topic cards, resources</t>
  </si>
  <si>
    <t>Generate 5000 synthetic records, seasonal patterns</t>
  </si>
  <si>
    <t>K-Means clustering, anomaly detection, forecasting</t>
  </si>
  <si>
    <t>Streamlit Cloud deployment, secrets config, live testing</t>
  </si>
  <si>
    <t>Test scenarios, user feedback, edge cases, disclaimers</t>
  </si>
  <si>
    <t>Final report, demo video, presentation, submission</t>
  </si>
  <si>
    <t>-</t>
  </si>
  <si>
    <t>Udemy courses, tutorials, documentation, self-study</t>
  </si>
  <si>
    <t>Code experiments, feature demos, testing feasibility</t>
  </si>
  <si>
    <t>2026-02-04</t>
  </si>
  <si>
    <t>1D.1</t>
  </si>
  <si>
    <t>Create components/auth.py (hash_password, verify_password functions using bcrypt)</t>
  </si>
  <si>
    <t>1D.2</t>
  </si>
  <si>
    <t>Create app.py with Login tab UI (email, password, remember me checkbox)</t>
  </si>
  <si>
    <t>1D.3</t>
  </si>
  <si>
    <t>Create app.py with Register tab UI (name, email, password, health profile, 10 health conditions)</t>
  </si>
  <si>
    <t>1D.4</t>
  </si>
  <si>
    <t>Implement login logic (verify credentials, set session_state)</t>
  </si>
  <si>
    <t>2026-02-05</t>
  </si>
  <si>
    <t>1D.5</t>
  </si>
  <si>
    <t>Implement register logic (validate, hash password, save to DB)</t>
  </si>
  <si>
    <t>1D.6</t>
  </si>
  <si>
    <t>Add logout functionality (clear session and redirect to login)</t>
  </si>
  <si>
    <t>1D.7</t>
  </si>
  <si>
    <t>Protect pages (redirect to login if not authenticated)</t>
  </si>
  <si>
    <t>1D.8</t>
  </si>
  <si>
    <t>Test login/register/logout flow (9 test cases: registration, duplicate email, password/email validation, wrong password, logout, page protection, database verification); Clean up orphaned test data</t>
  </si>
  <si>
    <t>1E.1</t>
  </si>
  <si>
    <t>Create pages/1_🏠_Home.py with welcome message</t>
  </si>
  <si>
    <t>1E.2</t>
  </si>
  <si>
    <t>Create pages/2_💬_Symptom_Assessment.py (placeholder)</t>
  </si>
  <si>
    <t>1E.3</t>
  </si>
  <si>
    <t>Create pages/3_📊_My_Dashboard.py (placeholder)</t>
  </si>
  <si>
    <t>1E.4</t>
  </si>
  <si>
    <t>Create pages/4_🗺️_Facility_Finder.py (placeholder)</t>
  </si>
  <si>
    <t>1E.5</t>
  </si>
  <si>
    <t>Create pages/5_📚_Health_Library.py (placeholder)</t>
  </si>
  <si>
    <t>1E.6</t>
  </si>
  <si>
    <t>Create pages/6_📈_System_Analytics.py (placeholder)</t>
  </si>
  <si>
    <t>1E.7</t>
  </si>
  <si>
    <t>Test navigation between all pages; Verify sidebar navigation works; Git commit and push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</si>
</sst>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6"/>
      <color rgb="FF1F4E79"/>
      <name val="Arial"/>
      <family val="2"/>
    </font>
    <font>
      <b/>
      <sz val="12"/>
      <color rgb="FF2E75B6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i/>
      <sz val="8"/>
      <name val="Arial"/>
      <family val="2"/>
    </font>
    <font>
      <b/>
      <sz val="11"/>
      <color rgb="FFC00000"/>
      <name val="Calibri"/>
      <family val="2"/>
    </font>
    <font>
      <sz val="10"/>
      <color theme="1"/>
      <name val="Arial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i/>
      <sz val="9"/>
      <name val="Calibri"/>
      <family val="2"/>
    </font>
    <font>
      <b/>
      <sz val="12"/>
      <name val="Calibri"/>
      <family val="2"/>
    </font>
    <font>
      <b/>
      <sz val="16"/>
      <name val="Calibri"/>
      <family val="2"/>
    </font>
    <font>
      <b/>
      <sz val="11"/>
      <color theme="1"/>
      <name val="Calibri"/>
      <family val="2"/>
      <scheme val="minor"/>
    </font>
    <font>
      <sz val="10"/>
      <name val="Arial"/>
    </font>
    <font>
      <sz val="11"/>
      <name val="Arial"/>
      <family val="2"/>
    </font>
    <font>
      <b/>
      <sz val="11"/>
      <color rgb="FF666666"/>
      <name val="Arial"/>
      <family val="2"/>
    </font>
    <font>
      <b/>
      <sz val="10"/>
      <color theme="1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BDD7EE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4B084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2E75B6"/>
      </patternFill>
    </fill>
    <fill>
      <patternFill patternType="solid">
        <fgColor rgb="FFFF6B6B"/>
      </patternFill>
    </fill>
    <fill>
      <patternFill patternType="solid">
        <fgColor rgb="FFE6B8FF"/>
      </patternFill>
    </fill>
    <fill>
      <patternFill patternType="solid">
        <fgColor rgb="FFFFD966"/>
      </patternFill>
    </fill>
    <fill>
      <patternFill patternType="solid">
        <fgColor rgb="FF00B0F0"/>
        <bgColor indexed="64"/>
      </patternFill>
    </fill>
    <fill>
      <patternFill patternType="solid">
        <fgColor rgb="FFC6EFCE"/>
      </patternFill>
    </fill>
    <fill>
      <patternFill patternType="solid">
        <fgColor rgb="FFD5A6E6"/>
      </patternFill>
    </fill>
    <fill>
      <patternFill patternType="solid">
        <fgColor rgb="FFFF99FF"/>
      </patternFill>
    </fill>
    <fill>
      <patternFill patternType="solid">
        <fgColor rgb="FFBDD7EE"/>
      </patternFill>
    </fill>
    <fill>
      <patternFill patternType="solid">
        <fgColor rgb="FF1F4E79"/>
      </patternFill>
    </fill>
    <fill>
      <patternFill patternType="solid">
        <fgColor rgb="FFFFEB9C"/>
      </patternFill>
    </fill>
    <fill>
      <patternFill patternType="solid">
        <fgColor rgb="FFFCE4D6"/>
      </patternFill>
    </fill>
    <fill>
      <patternFill patternType="solid">
        <fgColor rgb="FFE2D1F9"/>
      </patternFill>
    </fill>
    <fill>
      <patternFill patternType="solid">
        <fgColor rgb="FFB4C7E7"/>
      </patternFill>
    </fill>
    <fill>
      <patternFill patternType="solid">
        <fgColor rgb="FFFFD966"/>
      </patternFill>
    </fill>
    <fill>
      <patternFill patternType="solid">
        <fgColor rgb="FFD6E4F0"/>
      </patternFill>
    </fill>
  </fills>
  <borders count="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4" fillId="0" borderId="1" xfId="0" applyFont="1" applyBorder="1" applyAlignment="1">
      <alignment horizontal="center"/>
    </xf>
    <xf numFmtId="0" fontId="0" fillId="0" borderId="1" xfId="0" applyBorder="1"/>
    <xf numFmtId="0" fontId="3" fillId="9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0" borderId="0" xfId="0" applyFont="1"/>
    <xf numFmtId="0" fontId="3" fillId="2" borderId="0" xfId="0" applyFont="1" applyFill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11" borderId="0" xfId="0" applyFill="1"/>
    <xf numFmtId="0" fontId="0" fillId="12" borderId="0" xfId="0" applyFill="1"/>
    <xf numFmtId="0" fontId="0" fillId="0" borderId="0" xfId="0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" xfId="0" applyFont="1" applyBorder="1"/>
    <xf numFmtId="0" fontId="8" fillId="8" borderId="1" xfId="0" applyFont="1" applyFill="1" applyBorder="1"/>
    <xf numFmtId="0" fontId="8" fillId="0" borderId="0" xfId="0" applyFont="1"/>
    <xf numFmtId="0" fontId="4" fillId="0" borderId="3" xfId="0" applyFont="1" applyBorder="1" applyAlignment="1">
      <alignment horizontal="center"/>
    </xf>
    <xf numFmtId="0" fontId="0" fillId="0" borderId="3" xfId="0" applyBorder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left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/>
    <xf numFmtId="0" fontId="8" fillId="0" borderId="0" xfId="0" applyFont="1" applyAlignment="1">
      <alignment horizontal="center"/>
    </xf>
    <xf numFmtId="0" fontId="4" fillId="0" borderId="3" xfId="0" applyFont="1" applyBorder="1" applyAlignment="1">
      <alignment horizontal="left"/>
    </xf>
    <xf numFmtId="0" fontId="3" fillId="2" borderId="2" xfId="0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2" fontId="8" fillId="0" borderId="0" xfId="0" applyNumberFormat="1" applyFont="1" applyAlignment="1">
      <alignment horizontal="center"/>
    </xf>
    <xf numFmtId="0" fontId="0" fillId="13" borderId="0" xfId="0" applyFill="1"/>
    <xf numFmtId="0" fontId="9" fillId="18" borderId="6" xfId="0" applyFont="1" applyFill="1" applyBorder="1" applyAlignment="1">
      <alignment horizontal="center"/>
    </xf>
    <xf numFmtId="0" fontId="0" fillId="14" borderId="6" xfId="0" applyFill="1" applyBorder="1" applyAlignment="1">
      <alignment horizontal="center"/>
    </xf>
    <xf numFmtId="0" fontId="0" fillId="14" borderId="6" xfId="0" applyFill="1" applyBorder="1"/>
    <xf numFmtId="0" fontId="0" fillId="0" borderId="6" xfId="0" applyBorder="1" applyAlignment="1">
      <alignment horizontal="center"/>
    </xf>
    <xf numFmtId="2" fontId="0" fillId="0" borderId="6" xfId="0" applyNumberFormat="1" applyBorder="1" applyAlignment="1">
      <alignment horizontal="center"/>
    </xf>
    <xf numFmtId="9" fontId="0" fillId="0" borderId="6" xfId="0" applyNumberFormat="1" applyBorder="1" applyAlignment="1">
      <alignment horizontal="center"/>
    </xf>
    <xf numFmtId="0" fontId="0" fillId="17" borderId="6" xfId="0" applyFill="1" applyBorder="1" applyAlignment="1">
      <alignment horizontal="center"/>
    </xf>
    <xf numFmtId="0" fontId="0" fillId="17" borderId="6" xfId="0" applyFill="1" applyBorder="1"/>
    <xf numFmtId="0" fontId="0" fillId="19" borderId="6" xfId="0" applyFill="1" applyBorder="1" applyAlignment="1">
      <alignment horizontal="center"/>
    </xf>
    <xf numFmtId="0" fontId="0" fillId="19" borderId="6" xfId="0" applyFill="1" applyBorder="1"/>
    <xf numFmtId="0" fontId="0" fillId="20" borderId="6" xfId="0" applyFill="1" applyBorder="1" applyAlignment="1">
      <alignment horizontal="center"/>
    </xf>
    <xf numFmtId="0" fontId="0" fillId="20" borderId="6" xfId="0" applyFill="1" applyBorder="1"/>
    <xf numFmtId="0" fontId="0" fillId="21" borderId="6" xfId="0" applyFill="1" applyBorder="1" applyAlignment="1">
      <alignment horizontal="center"/>
    </xf>
    <xf numFmtId="0" fontId="0" fillId="21" borderId="6" xfId="0" applyFill="1" applyBorder="1"/>
    <xf numFmtId="0" fontId="0" fillId="22" borderId="6" xfId="0" applyFill="1" applyBorder="1" applyAlignment="1">
      <alignment horizontal="center"/>
    </xf>
    <xf numFmtId="0" fontId="0" fillId="22" borderId="6" xfId="0" applyFill="1" applyBorder="1"/>
    <xf numFmtId="0" fontId="5" fillId="16" borderId="6" xfId="0" applyFont="1" applyFill="1" applyBorder="1" applyAlignment="1">
      <alignment horizontal="center"/>
    </xf>
    <xf numFmtId="0" fontId="0" fillId="16" borderId="6" xfId="0" applyFill="1" applyBorder="1"/>
    <xf numFmtId="0" fontId="10" fillId="0" borderId="6" xfId="0" applyFont="1" applyBorder="1"/>
    <xf numFmtId="0" fontId="0" fillId="0" borderId="6" xfId="0" applyBorder="1"/>
    <xf numFmtId="0" fontId="10" fillId="0" borderId="6" xfId="0" applyFont="1" applyBorder="1" applyAlignment="1">
      <alignment horizontal="center"/>
    </xf>
    <xf numFmtId="2" fontId="10" fillId="0" borderId="6" xfId="0" applyNumberFormat="1" applyFont="1" applyBorder="1" applyAlignment="1">
      <alignment horizontal="center"/>
    </xf>
    <xf numFmtId="9" fontId="10" fillId="0" borderId="6" xfId="0" applyNumberFormat="1" applyFont="1" applyBorder="1" applyAlignment="1">
      <alignment horizontal="center"/>
    </xf>
    <xf numFmtId="0" fontId="11" fillId="0" borderId="0" xfId="0" applyFont="1" applyAlignment="1">
      <alignment horizontal="center"/>
    </xf>
    <xf numFmtId="0" fontId="0" fillId="3" borderId="6" xfId="0" applyFill="1" applyBorder="1"/>
    <xf numFmtId="0" fontId="0" fillId="4" borderId="6" xfId="0" applyFill="1" applyBorder="1"/>
    <xf numFmtId="0" fontId="0" fillId="5" borderId="6" xfId="0" applyFill="1" applyBorder="1"/>
    <xf numFmtId="0" fontId="6" fillId="0" borderId="6" xfId="0" applyFont="1" applyBorder="1"/>
    <xf numFmtId="0" fontId="0" fillId="6" borderId="6" xfId="0" applyFill="1" applyBorder="1"/>
    <xf numFmtId="0" fontId="0" fillId="7" borderId="6" xfId="0" applyFill="1" applyBorder="1"/>
    <xf numFmtId="0" fontId="0" fillId="8" borderId="6" xfId="0" applyFill="1" applyBorder="1"/>
    <xf numFmtId="0" fontId="7" fillId="10" borderId="6" xfId="0" applyFont="1" applyFill="1" applyBorder="1" applyAlignment="1">
      <alignment horizontal="center"/>
    </xf>
    <xf numFmtId="0" fontId="12" fillId="3" borderId="1" xfId="0" applyFont="1" applyFill="1" applyBorder="1"/>
    <xf numFmtId="2" fontId="9" fillId="18" borderId="6" xfId="0" applyNumberFormat="1" applyFont="1" applyFill="1" applyBorder="1" applyAlignment="1">
      <alignment horizontal="center"/>
    </xf>
    <xf numFmtId="0" fontId="0" fillId="15" borderId="6" xfId="0" applyFill="1" applyBorder="1"/>
    <xf numFmtId="0" fontId="0" fillId="23" borderId="6" xfId="0" applyFill="1" applyBorder="1"/>
    <xf numFmtId="0" fontId="0" fillId="0" borderId="0" xfId="0" applyAlignment="1">
      <alignment horizontal="left"/>
    </xf>
    <xf numFmtId="0" fontId="4" fillId="14" borderId="6" xfId="0" applyFont="1" applyFill="1" applyBorder="1" applyAlignment="1">
      <alignment horizontal="left"/>
    </xf>
    <xf numFmtId="0" fontId="4" fillId="15" borderId="6" xfId="0" applyFont="1" applyFill="1" applyBorder="1" applyAlignment="1">
      <alignment horizontal="left"/>
    </xf>
    <xf numFmtId="0" fontId="4" fillId="16" borderId="6" xfId="0" applyFont="1" applyFill="1" applyBorder="1" applyAlignment="1">
      <alignment horizontal="left"/>
    </xf>
    <xf numFmtId="0" fontId="4" fillId="17" borderId="6" xfId="0" applyFont="1" applyFill="1" applyBorder="1" applyAlignment="1">
      <alignment horizontal="left"/>
    </xf>
    <xf numFmtId="2" fontId="5" fillId="8" borderId="1" xfId="0" applyNumberFormat="1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0" xfId="0"/>
    <xf numFmtId="0" fontId="8" fillId="0" borderId="0" xfId="0" applyFont="1" applyAlignment="1">
      <alignment horizontal="center" vertical="center"/>
    </xf>
    <xf numFmtId="0" fontId="8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2" fillId="2" borderId="0" xfId="0" applyFont="1" applyFill="1"/>
    <xf numFmtId="0" fontId="13" fillId="0" borderId="0" xfId="0" applyFont="1" applyAlignment="1">
      <alignment horizontal="center"/>
    </xf>
    <xf numFmtId="0" fontId="15" fillId="24" borderId="6" xfId="0" applyFont="1" applyFill="1" applyBorder="1"/>
    <xf numFmtId="0" fontId="15" fillId="8" borderId="6" xfId="0" applyFont="1" applyFill="1" applyBorder="1"/>
    <xf numFmtId="0" fontId="15" fillId="0" borderId="0" xfId="0" applyFont="1" applyBorder="1" applyAlignment="1">
      <alignment horizontal="center"/>
    </xf>
    <xf numFmtId="0" fontId="15" fillId="0" borderId="0" xfId="0" applyFont="1" applyBorder="1"/>
    <xf numFmtId="0" fontId="5" fillId="8" borderId="7" xfId="0" applyFont="1" applyFill="1" applyBorder="1" applyAlignment="1">
      <alignment horizontal="right"/>
    </xf>
    <xf numFmtId="0" fontId="5" fillId="8" borderId="4" xfId="0" applyFont="1" applyFill="1" applyBorder="1" applyAlignment="1">
      <alignment horizontal="right"/>
    </xf>
    <xf numFmtId="0" fontId="5" fillId="8" borderId="5" xfId="0" applyFont="1" applyFill="1" applyBorder="1" applyAlignment="1">
      <alignment horizontal="right"/>
    </xf>
    <xf numFmtId="0" fontId="10" fillId="0" borderId="0" xfId="0" applyFont="1" applyFill="1"/>
    <xf numFmtId="0" fontId="0" fillId="0" borderId="0" xfId="0" applyFill="1"/>
    <xf numFmtId="0" fontId="16" fillId="8" borderId="6" xfId="0" applyFont="1" applyFill="1" applyBorder="1" applyAlignment="1">
      <alignment horizontal="center"/>
    </xf>
    <xf numFmtId="2" fontId="16" fillId="8" borderId="6" xfId="0" applyNumberFormat="1" applyFont="1" applyFill="1" applyBorder="1" applyAlignment="1">
      <alignment horizontal="center"/>
    </xf>
    <xf numFmtId="9" fontId="16" fillId="8" borderId="6" xfId="0" applyNumberFormat="1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4" fillId="0" borderId="0" xfId="0" applyFont="1"/>
    <xf numFmtId="0" fontId="18" fillId="0" borderId="0" xfId="0" applyFont="1" applyAlignment="1">
      <alignment horizontal="center" vertical="center"/>
    </xf>
    <xf numFmtId="0" fontId="18" fillId="0" borderId="0" xfId="0" applyFont="1"/>
  </cellXfs>
  <cellStyles count="1">
    <cellStyle name="Normal" xfId="0" builtinId="0"/>
  </cellStyles>
  <dxfs count="21">
    <dxf>
      <fill>
        <patternFill patternType="solid">
          <fgColor rgb="FFFFD966"/>
          <bgColor rgb="FFFFD966"/>
        </patternFill>
      </fill>
    </dxf>
    <dxf>
      <fill>
        <patternFill patternType="solid">
          <fgColor rgb="FFD5A6E6"/>
          <bgColor rgb="FFD5A6E6"/>
        </patternFill>
      </fill>
    </dxf>
    <dxf>
      <fill>
        <patternFill patternType="solid">
          <fgColor rgb="FFFF99FF"/>
          <bgColor rgb="FFFF99FF"/>
        </patternFill>
      </fill>
    </dxf>
    <dxf>
      <fill>
        <patternFill patternType="solid">
          <fgColor rgb="FFB4C7E7"/>
          <bgColor rgb="FFB4C7E7"/>
        </patternFill>
      </fill>
    </dxf>
    <dxf>
      <fill>
        <patternFill patternType="solid">
          <fgColor rgb="FFB4C7E7"/>
          <bgColor rgb="FFB4C7E7"/>
        </patternFill>
      </fill>
    </dxf>
    <dxf>
      <fill>
        <patternFill patternType="solid">
          <fgColor rgb="FFE2D1F9"/>
          <bgColor rgb="FFE2D1F9"/>
        </patternFill>
      </fill>
    </dxf>
    <dxf>
      <fill>
        <patternFill patternType="solid">
          <fgColor rgb="FFE2D1F9"/>
          <bgColor rgb="FFE2D1F9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BDD7EE"/>
          <bgColor rgb="FFBDD7EE"/>
        </patternFill>
      </fill>
    </dxf>
    <dxf>
      <fill>
        <patternFill patternType="solid">
          <fgColor rgb="FFBDD7EE"/>
          <bgColor rgb="FFBDD7EE"/>
        </patternFill>
      </fill>
    </dxf>
    <dxf>
      <fill>
        <patternFill patternType="solid">
          <fgColor rgb="FFBDD7EE"/>
          <bgColor rgb="FFBDD7EE"/>
        </patternFill>
      </fill>
    </dxf>
    <dxf>
      <fill>
        <patternFill patternType="solid">
          <fgColor rgb="FFBDD7EE"/>
          <bgColor rgb="FFBDD7EE"/>
        </patternFill>
      </fill>
    </dxf>
    <dxf>
      <fill>
        <patternFill patternType="solid">
          <fgColor rgb="FFBDD7EE"/>
          <bgColor rgb="FFBDD7EE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8"/>
  <sheetViews>
    <sheetView tabSelected="1" workbookViewId="0">
      <pane ySplit="5" topLeftCell="A51" activePane="bottomLeft" state="frozen"/>
      <selection pane="bottomLeft" activeCell="H54" sqref="H54"/>
    </sheetView>
  </sheetViews>
  <sheetFormatPr defaultRowHeight="14.4" x14ac:dyDescent="0.3"/>
  <cols>
    <col min="1" max="1" width="14" customWidth="1"/>
    <col min="2" max="2" width="8" customWidth="1"/>
    <col min="3" max="3" width="10" customWidth="1"/>
    <col min="4" max="4" width="8" customWidth="1"/>
    <col min="5" max="5" width="27.21875" style="74" bestFit="1" customWidth="1"/>
    <col min="6" max="6" width="10" style="20" customWidth="1"/>
    <col min="7" max="7" width="160.44140625" style="23" bestFit="1" customWidth="1"/>
  </cols>
  <sheetData>
    <row r="1" spans="1:7" ht="25.05" customHeight="1" x14ac:dyDescent="0.4">
      <c r="A1" s="85" t="s">
        <v>0</v>
      </c>
      <c r="B1" s="81"/>
      <c r="C1" s="81"/>
      <c r="D1" s="81"/>
      <c r="E1" s="81"/>
      <c r="F1" s="82"/>
      <c r="G1" s="83"/>
    </row>
    <row r="2" spans="1:7" ht="19.95" customHeight="1" x14ac:dyDescent="0.3">
      <c r="A2" s="84" t="s">
        <v>1</v>
      </c>
      <c r="B2" s="81"/>
      <c r="C2" s="81"/>
      <c r="D2" s="81"/>
      <c r="E2" s="81"/>
      <c r="F2" s="82"/>
      <c r="G2" s="83"/>
    </row>
    <row r="3" spans="1:7" x14ac:dyDescent="0.3">
      <c r="A3" s="100" t="s">
        <v>2</v>
      </c>
      <c r="B3" s="101"/>
      <c r="C3" s="101"/>
      <c r="D3" s="101"/>
      <c r="E3" s="101"/>
      <c r="F3" s="102"/>
      <c r="G3" s="103"/>
    </row>
    <row r="4" spans="1:7" x14ac:dyDescent="0.3">
      <c r="F4" s="17"/>
    </row>
    <row r="5" spans="1:7" ht="22.05" customHeight="1" x14ac:dyDescent="0.3">
      <c r="A5" s="32" t="s">
        <v>3</v>
      </c>
      <c r="B5" s="32" t="s">
        <v>4</v>
      </c>
      <c r="C5" s="32" t="s">
        <v>5</v>
      </c>
      <c r="D5" s="32" t="s">
        <v>6</v>
      </c>
      <c r="E5" s="32" t="s">
        <v>7</v>
      </c>
      <c r="F5" s="32" t="s">
        <v>8</v>
      </c>
      <c r="G5" s="32" t="s">
        <v>9</v>
      </c>
    </row>
    <row r="6" spans="1:7" x14ac:dyDescent="0.3">
      <c r="A6" s="26" t="s">
        <v>10</v>
      </c>
      <c r="B6" s="26">
        <v>0</v>
      </c>
      <c r="C6" s="26" t="s">
        <v>11</v>
      </c>
      <c r="D6" s="33">
        <v>2</v>
      </c>
      <c r="E6" s="75" t="s">
        <v>12</v>
      </c>
      <c r="F6" s="34"/>
      <c r="G6" s="35" t="s">
        <v>13</v>
      </c>
    </row>
    <row r="7" spans="1:7" x14ac:dyDescent="0.3">
      <c r="A7" s="26" t="s">
        <v>10</v>
      </c>
      <c r="B7" s="26">
        <v>0</v>
      </c>
      <c r="C7" s="26" t="s">
        <v>14</v>
      </c>
      <c r="D7" s="33">
        <v>1.5</v>
      </c>
      <c r="E7" s="75" t="s">
        <v>12</v>
      </c>
      <c r="F7" s="34"/>
      <c r="G7" s="35" t="s">
        <v>15</v>
      </c>
    </row>
    <row r="8" spans="1:7" x14ac:dyDescent="0.3">
      <c r="A8" s="26" t="s">
        <v>16</v>
      </c>
      <c r="B8" s="26">
        <v>0</v>
      </c>
      <c r="C8" s="26" t="s">
        <v>11</v>
      </c>
      <c r="D8" s="33">
        <v>2</v>
      </c>
      <c r="E8" s="76" t="s">
        <v>17</v>
      </c>
      <c r="F8" s="34"/>
      <c r="G8" s="35" t="s">
        <v>18</v>
      </c>
    </row>
    <row r="9" spans="1:7" x14ac:dyDescent="0.3">
      <c r="A9" s="26" t="s">
        <v>19</v>
      </c>
      <c r="B9" s="26">
        <v>0</v>
      </c>
      <c r="C9" s="26" t="s">
        <v>20</v>
      </c>
      <c r="D9" s="33">
        <v>1</v>
      </c>
      <c r="E9" s="75" t="s">
        <v>12</v>
      </c>
      <c r="F9" s="34"/>
      <c r="G9" s="35" t="s">
        <v>21</v>
      </c>
    </row>
    <row r="10" spans="1:7" x14ac:dyDescent="0.3">
      <c r="A10" s="26" t="s">
        <v>22</v>
      </c>
      <c r="B10" s="26">
        <v>0</v>
      </c>
      <c r="C10" s="26" t="s">
        <v>23</v>
      </c>
      <c r="D10" s="33">
        <v>2.5</v>
      </c>
      <c r="E10" s="76" t="s">
        <v>17</v>
      </c>
      <c r="F10" s="34"/>
      <c r="G10" s="35" t="s">
        <v>24</v>
      </c>
    </row>
    <row r="11" spans="1:7" x14ac:dyDescent="0.3">
      <c r="A11" s="26" t="s">
        <v>25</v>
      </c>
      <c r="B11" s="26">
        <v>0</v>
      </c>
      <c r="C11" s="26" t="s">
        <v>11</v>
      </c>
      <c r="D11" s="33">
        <v>2</v>
      </c>
      <c r="E11" s="75" t="s">
        <v>12</v>
      </c>
      <c r="F11" s="34"/>
      <c r="G11" s="35" t="s">
        <v>26</v>
      </c>
    </row>
    <row r="12" spans="1:7" x14ac:dyDescent="0.3">
      <c r="A12" s="26" t="s">
        <v>27</v>
      </c>
      <c r="B12" s="26">
        <v>0</v>
      </c>
      <c r="C12" s="26" t="s">
        <v>28</v>
      </c>
      <c r="D12" s="33">
        <v>3</v>
      </c>
      <c r="E12" s="76" t="s">
        <v>17</v>
      </c>
      <c r="F12" s="34"/>
      <c r="G12" s="35" t="s">
        <v>29</v>
      </c>
    </row>
    <row r="13" spans="1:7" x14ac:dyDescent="0.3">
      <c r="A13" s="26" t="s">
        <v>30</v>
      </c>
      <c r="B13" s="26">
        <v>0</v>
      </c>
      <c r="C13" s="26" t="s">
        <v>23</v>
      </c>
      <c r="D13" s="33">
        <v>2.5</v>
      </c>
      <c r="E13" s="75" t="s">
        <v>12</v>
      </c>
      <c r="F13" s="34"/>
      <c r="G13" s="35" t="s">
        <v>31</v>
      </c>
    </row>
    <row r="14" spans="1:7" x14ac:dyDescent="0.3">
      <c r="A14" s="26" t="s">
        <v>32</v>
      </c>
      <c r="B14" s="26">
        <v>0</v>
      </c>
      <c r="C14" s="26" t="s">
        <v>28</v>
      </c>
      <c r="D14" s="33">
        <v>3</v>
      </c>
      <c r="E14" s="76" t="s">
        <v>17</v>
      </c>
      <c r="F14" s="34"/>
      <c r="G14" s="35" t="s">
        <v>33</v>
      </c>
    </row>
    <row r="15" spans="1:7" x14ac:dyDescent="0.3">
      <c r="A15" s="26" t="s">
        <v>34</v>
      </c>
      <c r="B15" s="26">
        <v>0</v>
      </c>
      <c r="C15" s="26" t="s">
        <v>23</v>
      </c>
      <c r="D15" s="33">
        <v>2.5</v>
      </c>
      <c r="E15" s="76" t="s">
        <v>17</v>
      </c>
      <c r="F15" s="34"/>
      <c r="G15" s="35" t="s">
        <v>35</v>
      </c>
    </row>
    <row r="16" spans="1:7" x14ac:dyDescent="0.3">
      <c r="A16" s="26" t="s">
        <v>36</v>
      </c>
      <c r="B16" s="26">
        <v>0</v>
      </c>
      <c r="C16" s="26" t="s">
        <v>28</v>
      </c>
      <c r="D16" s="33">
        <v>3</v>
      </c>
      <c r="E16" s="77" t="s">
        <v>37</v>
      </c>
      <c r="F16" s="34"/>
      <c r="G16" s="35" t="s">
        <v>38</v>
      </c>
    </row>
    <row r="17" spans="1:7" x14ac:dyDescent="0.3">
      <c r="A17" s="26" t="s">
        <v>39</v>
      </c>
      <c r="B17" s="26">
        <v>0</v>
      </c>
      <c r="C17" s="26" t="s">
        <v>40</v>
      </c>
      <c r="D17" s="33">
        <v>3.5</v>
      </c>
      <c r="E17" s="77" t="s">
        <v>37</v>
      </c>
      <c r="F17" s="34"/>
      <c r="G17" s="35" t="s">
        <v>41</v>
      </c>
    </row>
    <row r="18" spans="1:7" x14ac:dyDescent="0.3">
      <c r="A18" s="26" t="s">
        <v>42</v>
      </c>
      <c r="B18" s="26">
        <v>0</v>
      </c>
      <c r="C18" s="26" t="s">
        <v>43</v>
      </c>
      <c r="D18" s="33">
        <v>0.25</v>
      </c>
      <c r="E18" s="75" t="s">
        <v>12</v>
      </c>
      <c r="F18" s="34" t="s">
        <v>44</v>
      </c>
      <c r="G18" s="35" t="s">
        <v>45</v>
      </c>
    </row>
    <row r="19" spans="1:7" x14ac:dyDescent="0.3">
      <c r="A19" s="26" t="s">
        <v>42</v>
      </c>
      <c r="B19" s="26">
        <v>0</v>
      </c>
      <c r="C19" s="26" t="s">
        <v>43</v>
      </c>
      <c r="D19" s="33">
        <v>0.25</v>
      </c>
      <c r="E19" s="75" t="s">
        <v>12</v>
      </c>
      <c r="F19" s="34" t="s">
        <v>46</v>
      </c>
      <c r="G19" s="35" t="s">
        <v>47</v>
      </c>
    </row>
    <row r="20" spans="1:7" x14ac:dyDescent="0.3">
      <c r="A20" s="26" t="s">
        <v>42</v>
      </c>
      <c r="B20" s="26">
        <v>0</v>
      </c>
      <c r="C20" s="26" t="s">
        <v>43</v>
      </c>
      <c r="D20" s="33">
        <v>0.25</v>
      </c>
      <c r="E20" s="75" t="s">
        <v>12</v>
      </c>
      <c r="F20" s="34" t="s">
        <v>48</v>
      </c>
      <c r="G20" s="35" t="s">
        <v>49</v>
      </c>
    </row>
    <row r="21" spans="1:7" x14ac:dyDescent="0.3">
      <c r="A21" s="26" t="s">
        <v>42</v>
      </c>
      <c r="B21" s="26">
        <v>0</v>
      </c>
      <c r="C21" s="26" t="s">
        <v>43</v>
      </c>
      <c r="D21" s="33">
        <v>0.25</v>
      </c>
      <c r="E21" s="75" t="s">
        <v>12</v>
      </c>
      <c r="F21" s="34" t="s">
        <v>50</v>
      </c>
      <c r="G21" s="35" t="s">
        <v>51</v>
      </c>
    </row>
    <row r="22" spans="1:7" x14ac:dyDescent="0.3">
      <c r="A22" s="26" t="s">
        <v>42</v>
      </c>
      <c r="B22" s="26">
        <v>0</v>
      </c>
      <c r="C22" s="26" t="s">
        <v>52</v>
      </c>
      <c r="D22" s="33">
        <v>0.1</v>
      </c>
      <c r="E22" s="75" t="s">
        <v>12</v>
      </c>
      <c r="F22" s="34" t="s">
        <v>53</v>
      </c>
      <c r="G22" s="35" t="s">
        <v>54</v>
      </c>
    </row>
    <row r="23" spans="1:7" x14ac:dyDescent="0.3">
      <c r="A23" s="26" t="s">
        <v>42</v>
      </c>
      <c r="B23" s="26">
        <v>0</v>
      </c>
      <c r="C23" s="26" t="s">
        <v>20</v>
      </c>
      <c r="D23" s="33">
        <v>1</v>
      </c>
      <c r="E23" s="75" t="s">
        <v>12</v>
      </c>
      <c r="F23" s="34"/>
      <c r="G23" s="35" t="s">
        <v>55</v>
      </c>
    </row>
    <row r="24" spans="1:7" x14ac:dyDescent="0.3">
      <c r="A24" s="26" t="s">
        <v>42</v>
      </c>
      <c r="B24" s="26">
        <v>0</v>
      </c>
      <c r="C24" s="26" t="s">
        <v>56</v>
      </c>
      <c r="D24" s="33">
        <v>0.17</v>
      </c>
      <c r="E24" s="75" t="s">
        <v>12</v>
      </c>
      <c r="F24" s="34" t="s">
        <v>57</v>
      </c>
      <c r="G24" s="35" t="s">
        <v>58</v>
      </c>
    </row>
    <row r="25" spans="1:7" x14ac:dyDescent="0.3">
      <c r="A25" s="26" t="s">
        <v>42</v>
      </c>
      <c r="B25" s="26">
        <v>0</v>
      </c>
      <c r="C25" s="26" t="s">
        <v>52</v>
      </c>
      <c r="D25" s="33">
        <v>0.08</v>
      </c>
      <c r="E25" s="75" t="s">
        <v>12</v>
      </c>
      <c r="F25" s="34" t="s">
        <v>59</v>
      </c>
      <c r="G25" s="35" t="s">
        <v>60</v>
      </c>
    </row>
    <row r="26" spans="1:7" x14ac:dyDescent="0.3">
      <c r="A26" s="26" t="s">
        <v>42</v>
      </c>
      <c r="B26" s="26">
        <v>0</v>
      </c>
      <c r="C26" s="26" t="s">
        <v>43</v>
      </c>
      <c r="D26" s="33">
        <v>0.25</v>
      </c>
      <c r="E26" s="75" t="s">
        <v>12</v>
      </c>
      <c r="F26" s="34" t="s">
        <v>61</v>
      </c>
      <c r="G26" s="35" t="s">
        <v>62</v>
      </c>
    </row>
    <row r="27" spans="1:7" x14ac:dyDescent="0.3">
      <c r="A27" s="26" t="s">
        <v>42</v>
      </c>
      <c r="B27" s="26">
        <v>0</v>
      </c>
      <c r="C27" s="26" t="s">
        <v>52</v>
      </c>
      <c r="D27" s="33">
        <v>0.08</v>
      </c>
      <c r="E27" s="75" t="s">
        <v>12</v>
      </c>
      <c r="F27" s="34" t="s">
        <v>63</v>
      </c>
      <c r="G27" s="35" t="s">
        <v>64</v>
      </c>
    </row>
    <row r="28" spans="1:7" x14ac:dyDescent="0.3">
      <c r="A28" s="26" t="s">
        <v>42</v>
      </c>
      <c r="B28" s="26">
        <v>0</v>
      </c>
      <c r="C28" s="26" t="s">
        <v>56</v>
      </c>
      <c r="D28" s="33">
        <v>0.17</v>
      </c>
      <c r="E28" s="75" t="s">
        <v>12</v>
      </c>
      <c r="F28" s="34" t="s">
        <v>65</v>
      </c>
      <c r="G28" s="35" t="s">
        <v>66</v>
      </c>
    </row>
    <row r="29" spans="1:7" x14ac:dyDescent="0.3">
      <c r="A29" s="26" t="s">
        <v>67</v>
      </c>
      <c r="B29" s="26">
        <v>1</v>
      </c>
      <c r="C29" s="26" t="s">
        <v>68</v>
      </c>
      <c r="D29" s="36">
        <v>0.42</v>
      </c>
      <c r="E29" s="76" t="s">
        <v>17</v>
      </c>
      <c r="F29" s="30" t="s">
        <v>69</v>
      </c>
      <c r="G29" s="23" t="s">
        <v>70</v>
      </c>
    </row>
    <row r="30" spans="1:7" x14ac:dyDescent="0.3">
      <c r="A30" s="26" t="s">
        <v>67</v>
      </c>
      <c r="B30" s="26">
        <v>1</v>
      </c>
      <c r="C30" s="26" t="s">
        <v>71</v>
      </c>
      <c r="D30" s="36">
        <v>0.57999999999999996</v>
      </c>
      <c r="E30" s="76" t="s">
        <v>17</v>
      </c>
      <c r="F30" s="30" t="s">
        <v>72</v>
      </c>
      <c r="G30" s="23" t="s">
        <v>73</v>
      </c>
    </row>
    <row r="31" spans="1:7" x14ac:dyDescent="0.3">
      <c r="A31" s="26" t="s">
        <v>67</v>
      </c>
      <c r="B31" s="26">
        <v>1</v>
      </c>
      <c r="C31" s="26" t="s">
        <v>74</v>
      </c>
      <c r="D31" s="36">
        <v>0.5</v>
      </c>
      <c r="E31" s="76" t="s">
        <v>17</v>
      </c>
      <c r="F31" s="30" t="s">
        <v>75</v>
      </c>
      <c r="G31" s="23" t="s">
        <v>76</v>
      </c>
    </row>
    <row r="32" spans="1:7" x14ac:dyDescent="0.3">
      <c r="A32" s="26" t="s">
        <v>77</v>
      </c>
      <c r="B32" s="26">
        <v>1</v>
      </c>
      <c r="C32" s="26" t="s">
        <v>43</v>
      </c>
      <c r="D32" s="36">
        <v>0.25</v>
      </c>
      <c r="E32" s="76" t="s">
        <v>17</v>
      </c>
      <c r="F32" s="30" t="s">
        <v>78</v>
      </c>
      <c r="G32" s="23" t="s">
        <v>79</v>
      </c>
    </row>
    <row r="33" spans="1:7" x14ac:dyDescent="0.3">
      <c r="A33" s="26" t="s">
        <v>77</v>
      </c>
      <c r="B33" s="26">
        <v>1</v>
      </c>
      <c r="C33" s="26" t="s">
        <v>80</v>
      </c>
      <c r="D33" s="36">
        <v>0.33</v>
      </c>
      <c r="E33" s="76" t="s">
        <v>17</v>
      </c>
      <c r="F33" s="30" t="s">
        <v>81</v>
      </c>
      <c r="G33" s="23" t="s">
        <v>82</v>
      </c>
    </row>
    <row r="34" spans="1:7" x14ac:dyDescent="0.3">
      <c r="A34" s="26" t="s">
        <v>77</v>
      </c>
      <c r="B34" s="26">
        <v>1</v>
      </c>
      <c r="C34" s="26" t="s">
        <v>80</v>
      </c>
      <c r="D34" s="36">
        <v>0.33</v>
      </c>
      <c r="E34" s="76" t="s">
        <v>17</v>
      </c>
      <c r="F34" s="30" t="s">
        <v>83</v>
      </c>
      <c r="G34" s="23" t="s">
        <v>84</v>
      </c>
    </row>
    <row r="35" spans="1:7" x14ac:dyDescent="0.3">
      <c r="A35" s="26" t="s">
        <v>77</v>
      </c>
      <c r="B35" s="26">
        <v>1</v>
      </c>
      <c r="C35" s="26" t="s">
        <v>68</v>
      </c>
      <c r="D35" s="36">
        <v>0.42</v>
      </c>
      <c r="E35" s="76" t="s">
        <v>17</v>
      </c>
      <c r="F35" s="30" t="s">
        <v>85</v>
      </c>
      <c r="G35" s="23" t="s">
        <v>86</v>
      </c>
    </row>
    <row r="36" spans="1:7" x14ac:dyDescent="0.3">
      <c r="A36" s="26" t="s">
        <v>77</v>
      </c>
      <c r="B36" s="26">
        <v>1</v>
      </c>
      <c r="C36" s="26" t="s">
        <v>43</v>
      </c>
      <c r="D36" s="36">
        <v>0.25</v>
      </c>
      <c r="E36" s="76" t="s">
        <v>17</v>
      </c>
      <c r="F36" s="30" t="s">
        <v>87</v>
      </c>
      <c r="G36" s="23" t="s">
        <v>88</v>
      </c>
    </row>
    <row r="37" spans="1:7" x14ac:dyDescent="0.3">
      <c r="A37" s="26" t="s">
        <v>77</v>
      </c>
      <c r="B37" s="26">
        <v>1</v>
      </c>
      <c r="C37" s="26" t="s">
        <v>43</v>
      </c>
      <c r="D37" s="36">
        <v>0.25</v>
      </c>
      <c r="E37" s="76" t="s">
        <v>17</v>
      </c>
      <c r="F37" s="30" t="s">
        <v>89</v>
      </c>
      <c r="G37" s="23" t="s">
        <v>90</v>
      </c>
    </row>
    <row r="38" spans="1:7" x14ac:dyDescent="0.3">
      <c r="A38" s="26" t="s">
        <v>77</v>
      </c>
      <c r="B38" s="26">
        <v>1</v>
      </c>
      <c r="C38" s="26" t="s">
        <v>91</v>
      </c>
      <c r="D38" s="36">
        <v>0.67</v>
      </c>
      <c r="E38" s="76" t="s">
        <v>17</v>
      </c>
      <c r="F38" s="30" t="s">
        <v>92</v>
      </c>
      <c r="G38" s="23" t="s">
        <v>93</v>
      </c>
    </row>
    <row r="39" spans="1:7" x14ac:dyDescent="0.3">
      <c r="A39" s="26" t="s">
        <v>77</v>
      </c>
      <c r="B39" s="26" t="s">
        <v>94</v>
      </c>
      <c r="C39" s="26" t="s">
        <v>80</v>
      </c>
      <c r="D39" s="36">
        <v>0.33</v>
      </c>
      <c r="E39" s="78" t="s">
        <v>95</v>
      </c>
      <c r="F39" s="30" t="s">
        <v>96</v>
      </c>
      <c r="G39" s="23" t="s">
        <v>97</v>
      </c>
    </row>
    <row r="40" spans="1:7" x14ac:dyDescent="0.3">
      <c r="A40" s="26" t="s">
        <v>77</v>
      </c>
      <c r="B40" s="26" t="s">
        <v>94</v>
      </c>
      <c r="C40" s="26" t="s">
        <v>80</v>
      </c>
      <c r="D40" s="36">
        <v>0.33</v>
      </c>
      <c r="E40" s="78" t="s">
        <v>95</v>
      </c>
      <c r="F40" s="30" t="s">
        <v>98</v>
      </c>
      <c r="G40" s="23" t="s">
        <v>99</v>
      </c>
    </row>
    <row r="41" spans="1:7" x14ac:dyDescent="0.3">
      <c r="A41" s="26" t="s">
        <v>77</v>
      </c>
      <c r="B41" s="26" t="s">
        <v>94</v>
      </c>
      <c r="C41" s="26" t="s">
        <v>80</v>
      </c>
      <c r="D41" s="36">
        <v>0.33</v>
      </c>
      <c r="E41" s="78" t="s">
        <v>95</v>
      </c>
      <c r="F41" s="30" t="s">
        <v>100</v>
      </c>
      <c r="G41" s="23" t="s">
        <v>101</v>
      </c>
    </row>
    <row r="42" spans="1:7" x14ac:dyDescent="0.3">
      <c r="A42" s="26" t="s">
        <v>77</v>
      </c>
      <c r="B42" s="26" t="s">
        <v>94</v>
      </c>
      <c r="C42" s="26" t="s">
        <v>80</v>
      </c>
      <c r="D42" s="36">
        <v>0.33</v>
      </c>
      <c r="E42" s="78" t="s">
        <v>95</v>
      </c>
      <c r="F42" s="30" t="s">
        <v>102</v>
      </c>
      <c r="G42" s="23" t="s">
        <v>103</v>
      </c>
    </row>
    <row r="43" spans="1:7" x14ac:dyDescent="0.3">
      <c r="A43" s="26" t="s">
        <v>77</v>
      </c>
      <c r="B43" s="26" t="s">
        <v>94</v>
      </c>
      <c r="C43" s="26" t="s">
        <v>80</v>
      </c>
      <c r="D43" s="36">
        <v>0.33</v>
      </c>
      <c r="E43" s="78" t="s">
        <v>95</v>
      </c>
      <c r="F43" s="30" t="s">
        <v>104</v>
      </c>
      <c r="G43" s="23" t="s">
        <v>105</v>
      </c>
    </row>
    <row r="44" spans="1:7" x14ac:dyDescent="0.3">
      <c r="A44" s="26" t="s">
        <v>77</v>
      </c>
      <c r="B44" s="26" t="s">
        <v>94</v>
      </c>
      <c r="C44" s="26" t="s">
        <v>80</v>
      </c>
      <c r="D44" s="36">
        <v>0.33</v>
      </c>
      <c r="E44" s="78" t="s">
        <v>95</v>
      </c>
      <c r="F44" s="30" t="s">
        <v>106</v>
      </c>
      <c r="G44" s="23" t="s">
        <v>107</v>
      </c>
    </row>
    <row r="45" spans="1:7" x14ac:dyDescent="0.3">
      <c r="A45" s="26" t="s">
        <v>77</v>
      </c>
      <c r="B45" s="26" t="s">
        <v>94</v>
      </c>
      <c r="C45" s="26" t="s">
        <v>80</v>
      </c>
      <c r="D45" s="36">
        <v>0.33</v>
      </c>
      <c r="E45" s="78" t="s">
        <v>95</v>
      </c>
      <c r="F45" s="30" t="s">
        <v>108</v>
      </c>
      <c r="G45" s="23" t="s">
        <v>109</v>
      </c>
    </row>
    <row r="46" spans="1:7" x14ac:dyDescent="0.3">
      <c r="A46" s="26" t="s">
        <v>77</v>
      </c>
      <c r="B46" s="26" t="s">
        <v>94</v>
      </c>
      <c r="C46" s="26" t="s">
        <v>80</v>
      </c>
      <c r="D46" s="36">
        <v>0.33</v>
      </c>
      <c r="E46" s="78" t="s">
        <v>95</v>
      </c>
      <c r="F46" s="30" t="s">
        <v>110</v>
      </c>
      <c r="G46" s="23" t="s">
        <v>111</v>
      </c>
    </row>
    <row r="47" spans="1:7" x14ac:dyDescent="0.3">
      <c r="A47" s="26" t="s">
        <v>77</v>
      </c>
      <c r="B47" s="26" t="s">
        <v>94</v>
      </c>
      <c r="C47" s="26" t="s">
        <v>56</v>
      </c>
      <c r="D47" s="36">
        <v>0.17</v>
      </c>
      <c r="E47" s="78" t="s">
        <v>95</v>
      </c>
      <c r="F47" s="30" t="s">
        <v>112</v>
      </c>
      <c r="G47" s="23" t="s">
        <v>113</v>
      </c>
    </row>
    <row r="48" spans="1:7" x14ac:dyDescent="0.3">
      <c r="A48" s="26" t="s">
        <v>77</v>
      </c>
      <c r="B48" s="26" t="s">
        <v>94</v>
      </c>
      <c r="C48" s="26" t="s">
        <v>43</v>
      </c>
      <c r="D48" s="36">
        <v>0.25</v>
      </c>
      <c r="E48" s="78" t="s">
        <v>114</v>
      </c>
      <c r="F48" s="30" t="s">
        <v>115</v>
      </c>
      <c r="G48" s="23" t="s">
        <v>116</v>
      </c>
    </row>
    <row r="49" spans="1:7" x14ac:dyDescent="0.3">
      <c r="A49" s="26" t="s">
        <v>77</v>
      </c>
      <c r="B49" s="26" t="s">
        <v>94</v>
      </c>
      <c r="C49" s="26" t="s">
        <v>56</v>
      </c>
      <c r="D49" s="36">
        <v>0.17</v>
      </c>
      <c r="E49" s="78" t="s">
        <v>114</v>
      </c>
      <c r="F49" s="30" t="s">
        <v>117</v>
      </c>
      <c r="G49" s="23" t="s">
        <v>118</v>
      </c>
    </row>
    <row r="50" spans="1:7" x14ac:dyDescent="0.3">
      <c r="A50" s="26" t="s">
        <v>77</v>
      </c>
      <c r="B50" s="26" t="s">
        <v>94</v>
      </c>
      <c r="C50" s="26" t="s">
        <v>43</v>
      </c>
      <c r="D50" s="36">
        <v>0.25</v>
      </c>
      <c r="E50" s="78" t="s">
        <v>114</v>
      </c>
      <c r="F50" s="30" t="s">
        <v>119</v>
      </c>
      <c r="G50" s="23" t="s">
        <v>120</v>
      </c>
    </row>
    <row r="51" spans="1:7" x14ac:dyDescent="0.3">
      <c r="A51" s="26" t="s">
        <v>121</v>
      </c>
      <c r="B51" s="26" t="s">
        <v>94</v>
      </c>
      <c r="C51" s="34" t="s">
        <v>74</v>
      </c>
      <c r="D51" s="36">
        <v>0.5</v>
      </c>
      <c r="E51" s="78" t="s">
        <v>122</v>
      </c>
      <c r="F51" s="30" t="s">
        <v>123</v>
      </c>
      <c r="G51" s="23" t="s">
        <v>124</v>
      </c>
    </row>
    <row r="52" spans="1:7" x14ac:dyDescent="0.3">
      <c r="A52" s="26" t="s">
        <v>121</v>
      </c>
      <c r="B52" s="26" t="s">
        <v>94</v>
      </c>
      <c r="C52" s="34" t="s">
        <v>74</v>
      </c>
      <c r="D52" s="36">
        <v>0.5</v>
      </c>
      <c r="E52" s="78" t="s">
        <v>122</v>
      </c>
      <c r="F52" s="30" t="s">
        <v>125</v>
      </c>
      <c r="G52" s="23" t="s">
        <v>126</v>
      </c>
    </row>
    <row r="53" spans="1:7" x14ac:dyDescent="0.3">
      <c r="A53" s="26" t="s">
        <v>121</v>
      </c>
      <c r="B53" s="26" t="s">
        <v>94</v>
      </c>
      <c r="C53" s="34" t="s">
        <v>74</v>
      </c>
      <c r="D53" s="36">
        <v>0.5</v>
      </c>
      <c r="E53" s="78" t="s">
        <v>122</v>
      </c>
      <c r="F53" s="30" t="s">
        <v>127</v>
      </c>
      <c r="G53" s="23" t="s">
        <v>128</v>
      </c>
    </row>
    <row r="54" spans="1:7" x14ac:dyDescent="0.3">
      <c r="A54" s="26" t="s">
        <v>121</v>
      </c>
      <c r="B54" s="30" t="s">
        <v>94</v>
      </c>
      <c r="C54" s="34" t="s">
        <v>129</v>
      </c>
      <c r="D54" s="36">
        <v>0.75</v>
      </c>
      <c r="E54" s="78" t="s">
        <v>122</v>
      </c>
      <c r="F54" s="30" t="s">
        <v>130</v>
      </c>
      <c r="G54" s="23" t="s">
        <v>131</v>
      </c>
    </row>
    <row r="55" spans="1:7" x14ac:dyDescent="0.3">
      <c r="A55" s="30" t="s">
        <v>121</v>
      </c>
      <c r="B55" s="30" t="s">
        <v>94</v>
      </c>
      <c r="C55" s="34" t="s">
        <v>74</v>
      </c>
      <c r="D55" s="36">
        <v>0.5</v>
      </c>
      <c r="E55" s="78" t="s">
        <v>122</v>
      </c>
      <c r="F55" s="30" t="s">
        <v>132</v>
      </c>
      <c r="G55" s="23" t="s">
        <v>133</v>
      </c>
    </row>
    <row r="56" spans="1:7" x14ac:dyDescent="0.3">
      <c r="A56" s="30" t="s">
        <v>121</v>
      </c>
      <c r="B56" s="30" t="s">
        <v>94</v>
      </c>
      <c r="C56" s="34" t="s">
        <v>80</v>
      </c>
      <c r="D56" s="36">
        <v>0.33</v>
      </c>
      <c r="E56" s="78" t="s">
        <v>122</v>
      </c>
      <c r="F56" s="30" t="s">
        <v>134</v>
      </c>
      <c r="G56" s="23" t="s">
        <v>135</v>
      </c>
    </row>
    <row r="57" spans="1:7" x14ac:dyDescent="0.3">
      <c r="A57" s="30" t="s">
        <v>121</v>
      </c>
      <c r="B57" s="30" t="s">
        <v>94</v>
      </c>
      <c r="C57" s="30" t="s">
        <v>52</v>
      </c>
      <c r="D57" s="33">
        <v>0.1</v>
      </c>
      <c r="E57" s="78" t="s">
        <v>122</v>
      </c>
      <c r="F57" s="30" t="s">
        <v>136</v>
      </c>
      <c r="G57" s="23" t="s">
        <v>137</v>
      </c>
    </row>
    <row r="58" spans="1:7" x14ac:dyDescent="0.3">
      <c r="A58" s="90" t="s">
        <v>246</v>
      </c>
      <c r="B58" s="90" t="s">
        <v>94</v>
      </c>
      <c r="C58" s="90" t="s">
        <v>129</v>
      </c>
      <c r="D58" s="90">
        <v>0.75</v>
      </c>
      <c r="E58" s="88" t="s">
        <v>207</v>
      </c>
      <c r="F58" s="90" t="s">
        <v>247</v>
      </c>
      <c r="G58" s="91" t="s">
        <v>248</v>
      </c>
    </row>
    <row r="59" spans="1:7" x14ac:dyDescent="0.3">
      <c r="A59" s="90" t="s">
        <v>246</v>
      </c>
      <c r="B59" s="90" t="s">
        <v>94</v>
      </c>
      <c r="C59" s="90" t="s">
        <v>20</v>
      </c>
      <c r="D59" s="90">
        <v>1</v>
      </c>
      <c r="E59" s="88" t="s">
        <v>207</v>
      </c>
      <c r="F59" s="90" t="s">
        <v>249</v>
      </c>
      <c r="G59" s="91" t="s">
        <v>250</v>
      </c>
    </row>
    <row r="60" spans="1:7" x14ac:dyDescent="0.3">
      <c r="A60" s="90" t="s">
        <v>246</v>
      </c>
      <c r="B60" s="90" t="s">
        <v>94</v>
      </c>
      <c r="C60" s="90" t="s">
        <v>14</v>
      </c>
      <c r="D60" s="90">
        <v>1.5</v>
      </c>
      <c r="E60" s="88" t="s">
        <v>207</v>
      </c>
      <c r="F60" s="90" t="s">
        <v>251</v>
      </c>
      <c r="G60" s="91" t="s">
        <v>252</v>
      </c>
    </row>
    <row r="61" spans="1:7" x14ac:dyDescent="0.3">
      <c r="A61" s="90" t="s">
        <v>246</v>
      </c>
      <c r="B61" s="90" t="s">
        <v>94</v>
      </c>
      <c r="C61" s="90" t="s">
        <v>129</v>
      </c>
      <c r="D61" s="90">
        <v>0.75</v>
      </c>
      <c r="E61" s="88" t="s">
        <v>207</v>
      </c>
      <c r="F61" s="90" t="s">
        <v>253</v>
      </c>
      <c r="G61" s="91" t="s">
        <v>254</v>
      </c>
    </row>
    <row r="62" spans="1:7" x14ac:dyDescent="0.3">
      <c r="A62" s="90" t="s">
        <v>255</v>
      </c>
      <c r="B62" s="90" t="s">
        <v>94</v>
      </c>
      <c r="C62" s="90" t="s">
        <v>129</v>
      </c>
      <c r="D62" s="90">
        <v>0.75</v>
      </c>
      <c r="E62" s="88" t="s">
        <v>207</v>
      </c>
      <c r="F62" s="90" t="s">
        <v>256</v>
      </c>
      <c r="G62" s="91" t="s">
        <v>257</v>
      </c>
    </row>
    <row r="63" spans="1:7" x14ac:dyDescent="0.3">
      <c r="A63" s="90" t="s">
        <v>255</v>
      </c>
      <c r="B63" s="90" t="s">
        <v>94</v>
      </c>
      <c r="C63" s="90" t="s">
        <v>43</v>
      </c>
      <c r="D63" s="90">
        <v>0.25</v>
      </c>
      <c r="E63" s="88" t="s">
        <v>207</v>
      </c>
      <c r="F63" s="90" t="s">
        <v>258</v>
      </c>
      <c r="G63" s="91" t="s">
        <v>259</v>
      </c>
    </row>
    <row r="64" spans="1:7" x14ac:dyDescent="0.3">
      <c r="A64" s="90" t="s">
        <v>255</v>
      </c>
      <c r="B64" s="90" t="s">
        <v>94</v>
      </c>
      <c r="C64" s="90" t="s">
        <v>74</v>
      </c>
      <c r="D64" s="90">
        <v>0.5</v>
      </c>
      <c r="E64" s="88" t="s">
        <v>207</v>
      </c>
      <c r="F64" s="90" t="s">
        <v>260</v>
      </c>
      <c r="G64" s="91" t="s">
        <v>261</v>
      </c>
    </row>
    <row r="65" spans="1:7" x14ac:dyDescent="0.3">
      <c r="A65" s="90" t="s">
        <v>255</v>
      </c>
      <c r="B65" s="90" t="s">
        <v>94</v>
      </c>
      <c r="C65" s="90" t="s">
        <v>74</v>
      </c>
      <c r="D65" s="90">
        <v>0.5</v>
      </c>
      <c r="E65" s="88" t="s">
        <v>207</v>
      </c>
      <c r="F65" s="90" t="s">
        <v>262</v>
      </c>
      <c r="G65" s="91" t="s">
        <v>263</v>
      </c>
    </row>
    <row r="66" spans="1:7" x14ac:dyDescent="0.3">
      <c r="A66" s="90" t="s">
        <v>255</v>
      </c>
      <c r="B66" s="90" t="s">
        <v>94</v>
      </c>
      <c r="C66" s="90" t="s">
        <v>74</v>
      </c>
      <c r="D66" s="90">
        <v>0.5</v>
      </c>
      <c r="E66" s="89" t="s">
        <v>208</v>
      </c>
      <c r="F66" s="90" t="s">
        <v>264</v>
      </c>
      <c r="G66" s="91" t="s">
        <v>265</v>
      </c>
    </row>
    <row r="67" spans="1:7" x14ac:dyDescent="0.3">
      <c r="A67" s="90" t="s">
        <v>255</v>
      </c>
      <c r="B67" s="90" t="s">
        <v>94</v>
      </c>
      <c r="C67" s="90" t="s">
        <v>56</v>
      </c>
      <c r="D67" s="90">
        <v>0.17</v>
      </c>
      <c r="E67" s="89" t="s">
        <v>208</v>
      </c>
      <c r="F67" s="90" t="s">
        <v>266</v>
      </c>
      <c r="G67" s="91" t="s">
        <v>267</v>
      </c>
    </row>
    <row r="68" spans="1:7" x14ac:dyDescent="0.3">
      <c r="A68" s="90" t="s">
        <v>255</v>
      </c>
      <c r="B68" s="90" t="s">
        <v>94</v>
      </c>
      <c r="C68" s="90" t="s">
        <v>56</v>
      </c>
      <c r="D68" s="90">
        <v>0.17</v>
      </c>
      <c r="E68" s="89" t="s">
        <v>208</v>
      </c>
      <c r="F68" s="90" t="s">
        <v>268</v>
      </c>
      <c r="G68" s="91" t="s">
        <v>269</v>
      </c>
    </row>
    <row r="69" spans="1:7" x14ac:dyDescent="0.3">
      <c r="A69" s="90" t="s">
        <v>255</v>
      </c>
      <c r="B69" s="90" t="s">
        <v>94</v>
      </c>
      <c r="C69" s="90" t="s">
        <v>56</v>
      </c>
      <c r="D69" s="90">
        <v>0.17</v>
      </c>
      <c r="E69" s="89" t="s">
        <v>208</v>
      </c>
      <c r="F69" s="90" t="s">
        <v>270</v>
      </c>
      <c r="G69" s="91" t="s">
        <v>271</v>
      </c>
    </row>
    <row r="70" spans="1:7" x14ac:dyDescent="0.3">
      <c r="A70" s="90" t="s">
        <v>255</v>
      </c>
      <c r="B70" s="90" t="s">
        <v>94</v>
      </c>
      <c r="C70" s="90" t="s">
        <v>56</v>
      </c>
      <c r="D70" s="90">
        <v>0.17</v>
      </c>
      <c r="E70" s="89" t="s">
        <v>208</v>
      </c>
      <c r="F70" s="90" t="s">
        <v>272</v>
      </c>
      <c r="G70" s="91" t="s">
        <v>273</v>
      </c>
    </row>
    <row r="71" spans="1:7" x14ac:dyDescent="0.3">
      <c r="A71" s="90" t="s">
        <v>255</v>
      </c>
      <c r="B71" s="90" t="s">
        <v>94</v>
      </c>
      <c r="C71" s="90" t="s">
        <v>56</v>
      </c>
      <c r="D71" s="90">
        <v>0.17</v>
      </c>
      <c r="E71" s="89" t="s">
        <v>208</v>
      </c>
      <c r="F71" s="90" t="s">
        <v>274</v>
      </c>
      <c r="G71" s="91" t="s">
        <v>275</v>
      </c>
    </row>
    <row r="72" spans="1:7" x14ac:dyDescent="0.3">
      <c r="A72" s="90" t="s">
        <v>255</v>
      </c>
      <c r="B72" s="90" t="s">
        <v>94</v>
      </c>
      <c r="C72" s="90" t="s">
        <v>43</v>
      </c>
      <c r="D72" s="90">
        <v>0.25</v>
      </c>
      <c r="E72" s="89" t="s">
        <v>208</v>
      </c>
      <c r="F72" s="90" t="s">
        <v>276</v>
      </c>
      <c r="G72" s="91" t="s">
        <v>277</v>
      </c>
    </row>
    <row r="73" spans="1:7" x14ac:dyDescent="0.3">
      <c r="A73" s="24"/>
      <c r="B73" s="24"/>
      <c r="C73" s="24"/>
      <c r="D73" s="25"/>
      <c r="E73" s="31"/>
      <c r="F73" s="28"/>
      <c r="G73" s="29"/>
    </row>
    <row r="74" spans="1:7" x14ac:dyDescent="0.3">
      <c r="A74" s="1"/>
      <c r="B74" s="1"/>
      <c r="C74" s="1"/>
      <c r="D74" s="2"/>
      <c r="E74" s="27"/>
      <c r="F74" s="18"/>
      <c r="G74" s="21"/>
    </row>
    <row r="75" spans="1:7" x14ac:dyDescent="0.3">
      <c r="A75" s="1"/>
      <c r="B75" s="1"/>
      <c r="C75" s="1"/>
      <c r="D75" s="2"/>
      <c r="E75" s="27"/>
      <c r="F75" s="18"/>
      <c r="G75" s="21"/>
    </row>
    <row r="76" spans="1:7" x14ac:dyDescent="0.3">
      <c r="A76" s="1"/>
      <c r="B76" s="1"/>
      <c r="C76" s="1"/>
      <c r="D76" s="2"/>
      <c r="E76" s="27"/>
      <c r="F76" s="18"/>
      <c r="G76" s="21"/>
    </row>
    <row r="77" spans="1:7" x14ac:dyDescent="0.3">
      <c r="A77" s="1"/>
      <c r="B77" s="1"/>
      <c r="C77" s="1"/>
      <c r="D77" s="2"/>
      <c r="E77" s="27"/>
      <c r="F77" s="18"/>
      <c r="G77" s="21"/>
    </row>
    <row r="78" spans="1:7" x14ac:dyDescent="0.3">
      <c r="A78" s="1"/>
      <c r="B78" s="1"/>
      <c r="C78" s="1"/>
      <c r="D78" s="2"/>
      <c r="E78" s="27"/>
      <c r="F78" s="18"/>
      <c r="G78" s="21"/>
    </row>
    <row r="79" spans="1:7" x14ac:dyDescent="0.3">
      <c r="A79" s="1"/>
      <c r="B79" s="1"/>
      <c r="C79" s="1"/>
      <c r="D79" s="2"/>
      <c r="E79" s="27"/>
      <c r="F79" s="18"/>
      <c r="G79" s="21"/>
    </row>
    <row r="80" spans="1:7" x14ac:dyDescent="0.3">
      <c r="A80" s="1"/>
      <c r="B80" s="1"/>
      <c r="C80" s="1"/>
      <c r="D80" s="2"/>
      <c r="E80" s="27"/>
      <c r="F80" s="18"/>
      <c r="G80" s="21"/>
    </row>
    <row r="81" spans="1:7" x14ac:dyDescent="0.3">
      <c r="A81" s="1"/>
      <c r="B81" s="1"/>
      <c r="C81" s="1"/>
      <c r="D81" s="2"/>
      <c r="E81" s="27"/>
      <c r="F81" s="18"/>
      <c r="G81" s="21"/>
    </row>
    <row r="82" spans="1:7" x14ac:dyDescent="0.3">
      <c r="A82" s="1"/>
      <c r="B82" s="1"/>
      <c r="C82" s="1"/>
      <c r="D82" s="2"/>
      <c r="E82" s="27"/>
      <c r="F82" s="18"/>
      <c r="G82" s="21"/>
    </row>
    <row r="83" spans="1:7" x14ac:dyDescent="0.3">
      <c r="A83" s="1"/>
      <c r="B83" s="1"/>
      <c r="C83" s="1"/>
      <c r="D83" s="2"/>
      <c r="E83" s="27"/>
      <c r="F83" s="18"/>
      <c r="G83" s="21"/>
    </row>
    <row r="84" spans="1:7" x14ac:dyDescent="0.3">
      <c r="A84" s="1"/>
      <c r="B84" s="1"/>
      <c r="C84" s="1"/>
      <c r="D84" s="2"/>
      <c r="E84" s="27"/>
      <c r="F84" s="18"/>
      <c r="G84" s="21"/>
    </row>
    <row r="85" spans="1:7" x14ac:dyDescent="0.3">
      <c r="A85" s="1"/>
      <c r="B85" s="1"/>
      <c r="C85" s="1"/>
      <c r="D85" s="2"/>
      <c r="E85" s="27"/>
      <c r="F85" s="18"/>
      <c r="G85" s="21"/>
    </row>
    <row r="86" spans="1:7" x14ac:dyDescent="0.3">
      <c r="A86" s="1"/>
      <c r="B86" s="1"/>
      <c r="C86" s="1"/>
      <c r="D86" s="2"/>
      <c r="E86" s="27"/>
      <c r="F86" s="18"/>
      <c r="G86" s="21"/>
    </row>
    <row r="87" spans="1:7" x14ac:dyDescent="0.3">
      <c r="A87" s="1"/>
      <c r="B87" s="1"/>
      <c r="C87" s="1"/>
      <c r="D87" s="2"/>
      <c r="E87" s="27"/>
      <c r="F87" s="18"/>
      <c r="G87" s="21"/>
    </row>
    <row r="88" spans="1:7" x14ac:dyDescent="0.3">
      <c r="A88" s="1"/>
      <c r="B88" s="1"/>
      <c r="C88" s="1"/>
      <c r="D88" s="2"/>
      <c r="E88" s="27"/>
      <c r="F88" s="18"/>
      <c r="G88" s="21"/>
    </row>
    <row r="89" spans="1:7" x14ac:dyDescent="0.3">
      <c r="A89" s="1"/>
      <c r="B89" s="1"/>
      <c r="C89" s="1"/>
      <c r="D89" s="2"/>
      <c r="E89" s="27"/>
      <c r="F89" s="18"/>
      <c r="G89" s="21"/>
    </row>
    <row r="90" spans="1:7" x14ac:dyDescent="0.3">
      <c r="A90" s="1"/>
      <c r="B90" s="1"/>
      <c r="C90" s="1"/>
      <c r="D90" s="2"/>
      <c r="E90" s="27"/>
      <c r="F90" s="18"/>
      <c r="G90" s="21"/>
    </row>
    <row r="91" spans="1:7" x14ac:dyDescent="0.3">
      <c r="A91" s="1"/>
      <c r="B91" s="1"/>
      <c r="C91" s="1"/>
      <c r="D91" s="2"/>
      <c r="E91" s="27"/>
      <c r="F91" s="18"/>
      <c r="G91" s="21"/>
    </row>
    <row r="92" spans="1:7" x14ac:dyDescent="0.3">
      <c r="A92" s="1"/>
      <c r="B92" s="1"/>
      <c r="C92" s="1"/>
      <c r="D92" s="2"/>
      <c r="E92" s="27"/>
      <c r="F92" s="18"/>
      <c r="G92" s="21"/>
    </row>
    <row r="93" spans="1:7" x14ac:dyDescent="0.3">
      <c r="A93" s="1"/>
      <c r="B93" s="1"/>
      <c r="C93" s="1"/>
      <c r="D93" s="2"/>
      <c r="E93" s="27"/>
      <c r="F93" s="18"/>
      <c r="G93" s="21"/>
    </row>
    <row r="94" spans="1:7" x14ac:dyDescent="0.3">
      <c r="A94" s="1"/>
      <c r="B94" s="1"/>
      <c r="C94" s="1"/>
      <c r="D94" s="2"/>
      <c r="E94" s="27"/>
      <c r="F94" s="18"/>
      <c r="G94" s="21"/>
    </row>
    <row r="95" spans="1:7" x14ac:dyDescent="0.3">
      <c r="A95" s="1"/>
      <c r="B95" s="1"/>
      <c r="C95" s="1"/>
      <c r="D95" s="2"/>
      <c r="E95" s="27"/>
      <c r="F95" s="18"/>
      <c r="G95" s="21"/>
    </row>
    <row r="96" spans="1:7" x14ac:dyDescent="0.3">
      <c r="A96" s="1"/>
      <c r="B96" s="1"/>
      <c r="C96" s="1"/>
      <c r="D96" s="2"/>
      <c r="E96" s="27"/>
      <c r="F96" s="18"/>
      <c r="G96" s="21"/>
    </row>
    <row r="97" spans="1:7" x14ac:dyDescent="0.3">
      <c r="A97" s="1"/>
      <c r="B97" s="1"/>
      <c r="C97" s="1"/>
      <c r="D97" s="2"/>
      <c r="E97" s="27"/>
      <c r="F97" s="18"/>
      <c r="G97" s="21"/>
    </row>
    <row r="98" spans="1:7" x14ac:dyDescent="0.3">
      <c r="A98" s="1"/>
      <c r="B98" s="1"/>
      <c r="C98" s="1"/>
      <c r="D98" s="2"/>
      <c r="E98" s="27"/>
      <c r="F98" s="18"/>
      <c r="G98" s="21"/>
    </row>
    <row r="99" spans="1:7" x14ac:dyDescent="0.3">
      <c r="A99" s="1"/>
      <c r="B99" s="1"/>
      <c r="C99" s="1"/>
      <c r="D99" s="2"/>
      <c r="E99" s="27"/>
      <c r="F99" s="18"/>
      <c r="G99" s="21"/>
    </row>
    <row r="100" spans="1:7" x14ac:dyDescent="0.3">
      <c r="A100" s="1"/>
      <c r="B100" s="1"/>
      <c r="C100" s="1"/>
      <c r="D100" s="2"/>
      <c r="E100" s="27"/>
      <c r="F100" s="18"/>
      <c r="G100" s="21"/>
    </row>
    <row r="101" spans="1:7" x14ac:dyDescent="0.3">
      <c r="A101" s="1"/>
      <c r="B101" s="1"/>
      <c r="C101" s="1"/>
      <c r="D101" s="2"/>
      <c r="E101" s="27"/>
      <c r="F101" s="18"/>
      <c r="G101" s="21"/>
    </row>
    <row r="102" spans="1:7" x14ac:dyDescent="0.3">
      <c r="A102" s="1"/>
      <c r="B102" s="1"/>
      <c r="C102" s="1"/>
      <c r="D102" s="2"/>
      <c r="E102" s="27"/>
      <c r="F102" s="18"/>
      <c r="G102" s="21"/>
    </row>
    <row r="103" spans="1:7" x14ac:dyDescent="0.3">
      <c r="A103" s="1"/>
      <c r="B103" s="1"/>
      <c r="C103" s="1"/>
      <c r="D103" s="2"/>
      <c r="E103" s="27"/>
      <c r="F103" s="18"/>
      <c r="G103" s="21"/>
    </row>
    <row r="104" spans="1:7" x14ac:dyDescent="0.3">
      <c r="A104" s="1"/>
      <c r="B104" s="1"/>
      <c r="C104" s="1"/>
      <c r="D104" s="2"/>
      <c r="E104" s="27"/>
      <c r="F104" s="18"/>
      <c r="G104" s="21"/>
    </row>
    <row r="105" spans="1:7" x14ac:dyDescent="0.3">
      <c r="A105" s="1"/>
      <c r="B105" s="1"/>
      <c r="C105" s="1"/>
      <c r="D105" s="2"/>
      <c r="E105" s="27"/>
      <c r="F105" s="18"/>
      <c r="G105" s="21"/>
    </row>
    <row r="106" spans="1:7" x14ac:dyDescent="0.3">
      <c r="A106" s="1"/>
      <c r="B106" s="1"/>
      <c r="C106" s="1"/>
      <c r="D106" s="2"/>
      <c r="E106" s="27"/>
      <c r="F106" s="18"/>
      <c r="G106" s="21"/>
    </row>
    <row r="107" spans="1:7" x14ac:dyDescent="0.3">
      <c r="A107" s="1"/>
      <c r="B107" s="1"/>
      <c r="C107" s="1"/>
      <c r="D107" s="2"/>
      <c r="E107" s="27"/>
      <c r="F107" s="18"/>
      <c r="G107" s="21"/>
    </row>
    <row r="108" spans="1:7" x14ac:dyDescent="0.3">
      <c r="A108" s="1"/>
      <c r="B108" s="1"/>
      <c r="C108" s="1"/>
      <c r="D108" s="2"/>
      <c r="E108" s="27"/>
      <c r="F108" s="18"/>
      <c r="G108" s="21"/>
    </row>
    <row r="109" spans="1:7" x14ac:dyDescent="0.3">
      <c r="A109" s="1"/>
      <c r="B109" s="1"/>
      <c r="C109" s="1"/>
      <c r="D109" s="2"/>
      <c r="E109" s="27"/>
      <c r="F109" s="18"/>
      <c r="G109" s="21"/>
    </row>
    <row r="110" spans="1:7" x14ac:dyDescent="0.3">
      <c r="A110" s="1"/>
      <c r="B110" s="1"/>
      <c r="C110" s="1"/>
      <c r="D110" s="2"/>
      <c r="E110" s="27"/>
      <c r="F110" s="18"/>
      <c r="G110" s="21"/>
    </row>
    <row r="111" spans="1:7" x14ac:dyDescent="0.3">
      <c r="A111" s="1"/>
      <c r="B111" s="1"/>
      <c r="C111" s="1"/>
      <c r="D111" s="2"/>
      <c r="E111" s="27"/>
      <c r="F111" s="18"/>
      <c r="G111" s="21"/>
    </row>
    <row r="112" spans="1:7" x14ac:dyDescent="0.3">
      <c r="A112" s="1"/>
      <c r="B112" s="1"/>
      <c r="C112" s="1"/>
      <c r="D112" s="2"/>
      <c r="E112" s="27"/>
      <c r="F112" s="18"/>
      <c r="G112" s="21"/>
    </row>
    <row r="113" spans="1:7" x14ac:dyDescent="0.3">
      <c r="A113" s="1"/>
      <c r="B113" s="1"/>
      <c r="C113" s="1"/>
      <c r="D113" s="2"/>
      <c r="E113" s="27"/>
      <c r="F113" s="18"/>
      <c r="G113" s="21"/>
    </row>
    <row r="114" spans="1:7" x14ac:dyDescent="0.3">
      <c r="A114" s="1"/>
      <c r="B114" s="1"/>
      <c r="C114" s="1"/>
      <c r="D114" s="2"/>
      <c r="E114" s="27"/>
      <c r="F114" s="18"/>
      <c r="G114" s="21"/>
    </row>
    <row r="115" spans="1:7" x14ac:dyDescent="0.3">
      <c r="A115" s="1"/>
      <c r="B115" s="1"/>
      <c r="C115" s="1"/>
      <c r="D115" s="2"/>
      <c r="E115" s="27"/>
      <c r="F115" s="18"/>
      <c r="G115" s="21"/>
    </row>
    <row r="116" spans="1:7" x14ac:dyDescent="0.3">
      <c r="A116" s="1"/>
      <c r="B116" s="1"/>
      <c r="C116" s="1"/>
      <c r="D116" s="2"/>
      <c r="E116" s="27"/>
      <c r="F116" s="18"/>
      <c r="G116" s="21"/>
    </row>
    <row r="117" spans="1:7" x14ac:dyDescent="0.3">
      <c r="A117" s="1"/>
      <c r="B117" s="1"/>
      <c r="C117" s="1"/>
      <c r="D117" s="2"/>
      <c r="E117" s="27"/>
      <c r="F117" s="18"/>
      <c r="G117" s="21"/>
    </row>
    <row r="118" spans="1:7" x14ac:dyDescent="0.3">
      <c r="A118" s="1"/>
      <c r="B118" s="1"/>
      <c r="C118" s="1"/>
      <c r="D118" s="2"/>
      <c r="E118" s="27"/>
      <c r="F118" s="18"/>
      <c r="G118" s="21"/>
    </row>
    <row r="119" spans="1:7" x14ac:dyDescent="0.3">
      <c r="A119" s="1"/>
      <c r="B119" s="1"/>
      <c r="C119" s="1"/>
      <c r="D119" s="2"/>
      <c r="E119" s="27"/>
      <c r="F119" s="18"/>
      <c r="G119" s="21"/>
    </row>
    <row r="120" spans="1:7" x14ac:dyDescent="0.3">
      <c r="A120" s="1"/>
      <c r="B120" s="1"/>
      <c r="C120" s="1"/>
      <c r="D120" s="2"/>
      <c r="E120" s="27"/>
      <c r="F120" s="18"/>
      <c r="G120" s="21"/>
    </row>
    <row r="121" spans="1:7" x14ac:dyDescent="0.3">
      <c r="A121" s="1"/>
      <c r="B121" s="1"/>
      <c r="C121" s="1"/>
      <c r="D121" s="2"/>
      <c r="E121" s="27"/>
      <c r="F121" s="18"/>
      <c r="G121" s="21"/>
    </row>
    <row r="122" spans="1:7" x14ac:dyDescent="0.3">
      <c r="A122" s="1"/>
      <c r="B122" s="1"/>
      <c r="C122" s="1"/>
      <c r="D122" s="2"/>
      <c r="E122" s="27"/>
      <c r="F122" s="18"/>
      <c r="G122" s="21"/>
    </row>
    <row r="123" spans="1:7" x14ac:dyDescent="0.3">
      <c r="A123" s="1"/>
      <c r="B123" s="1"/>
      <c r="C123" s="1"/>
      <c r="D123" s="2"/>
      <c r="E123" s="27"/>
      <c r="F123" s="18"/>
      <c r="G123" s="21"/>
    </row>
    <row r="124" spans="1:7" x14ac:dyDescent="0.3">
      <c r="A124" s="1"/>
      <c r="B124" s="1"/>
      <c r="C124" s="1"/>
      <c r="D124" s="2"/>
      <c r="E124" s="27"/>
      <c r="F124" s="18"/>
      <c r="G124" s="21"/>
    </row>
    <row r="125" spans="1:7" x14ac:dyDescent="0.3">
      <c r="A125" s="1"/>
      <c r="B125" s="1"/>
      <c r="C125" s="1"/>
      <c r="D125" s="2"/>
      <c r="E125" s="27"/>
      <c r="F125" s="18"/>
      <c r="G125" s="21"/>
    </row>
    <row r="126" spans="1:7" x14ac:dyDescent="0.3">
      <c r="A126" s="1"/>
      <c r="B126" s="1"/>
      <c r="C126" s="1"/>
      <c r="D126" s="2"/>
      <c r="E126" s="27"/>
      <c r="F126" s="18"/>
      <c r="G126" s="21"/>
    </row>
    <row r="127" spans="1:7" x14ac:dyDescent="0.3">
      <c r="A127" s="1"/>
      <c r="B127" s="1"/>
      <c r="C127" s="1"/>
      <c r="D127" s="2"/>
      <c r="E127" s="27"/>
      <c r="F127" s="18"/>
      <c r="G127" s="21"/>
    </row>
    <row r="128" spans="1:7" x14ac:dyDescent="0.3">
      <c r="A128" s="1"/>
      <c r="B128" s="1"/>
      <c r="C128" s="1"/>
      <c r="D128" s="2"/>
      <c r="E128" s="27"/>
      <c r="F128" s="18"/>
      <c r="G128" s="21"/>
    </row>
    <row r="129" spans="1:7" x14ac:dyDescent="0.3">
      <c r="A129" s="1"/>
      <c r="B129" s="1"/>
      <c r="C129" s="1"/>
      <c r="D129" s="2"/>
      <c r="E129" s="27"/>
      <c r="F129" s="18"/>
      <c r="G129" s="21"/>
    </row>
    <row r="130" spans="1:7" x14ac:dyDescent="0.3">
      <c r="A130" s="1"/>
      <c r="B130" s="1"/>
      <c r="C130" s="1"/>
      <c r="D130" s="2"/>
      <c r="E130" s="27"/>
      <c r="F130" s="18"/>
      <c r="G130" s="21"/>
    </row>
    <row r="131" spans="1:7" x14ac:dyDescent="0.3">
      <c r="A131" s="1"/>
      <c r="B131" s="1"/>
      <c r="C131" s="1"/>
      <c r="D131" s="2"/>
      <c r="E131" s="27"/>
      <c r="F131" s="18"/>
      <c r="G131" s="21"/>
    </row>
    <row r="132" spans="1:7" x14ac:dyDescent="0.3">
      <c r="A132" s="1"/>
      <c r="B132" s="1"/>
      <c r="C132" s="1"/>
      <c r="D132" s="2"/>
      <c r="E132" s="27"/>
      <c r="F132" s="18"/>
      <c r="G132" s="21"/>
    </row>
    <row r="133" spans="1:7" x14ac:dyDescent="0.3">
      <c r="A133" s="1"/>
      <c r="B133" s="1"/>
      <c r="C133" s="1"/>
      <c r="D133" s="2"/>
      <c r="E133" s="27"/>
      <c r="F133" s="18"/>
      <c r="G133" s="21"/>
    </row>
    <row r="134" spans="1:7" x14ac:dyDescent="0.3">
      <c r="A134" s="1"/>
      <c r="B134" s="1"/>
      <c r="C134" s="1"/>
      <c r="D134" s="2"/>
      <c r="E134" s="27"/>
      <c r="F134" s="18"/>
      <c r="G134" s="21"/>
    </row>
    <row r="135" spans="1:7" x14ac:dyDescent="0.3">
      <c r="A135" s="1"/>
      <c r="B135" s="1"/>
      <c r="C135" s="1"/>
      <c r="D135" s="2"/>
      <c r="E135" s="27"/>
      <c r="F135" s="18"/>
      <c r="G135" s="21"/>
    </row>
    <row r="136" spans="1:7" x14ac:dyDescent="0.3">
      <c r="A136" s="1"/>
      <c r="B136" s="1"/>
      <c r="C136" s="1"/>
      <c r="D136" s="2"/>
      <c r="E136" s="27"/>
      <c r="F136" s="18"/>
      <c r="G136" s="21"/>
    </row>
    <row r="137" spans="1:7" x14ac:dyDescent="0.3">
      <c r="A137" s="1"/>
      <c r="B137" s="1"/>
      <c r="C137" s="1"/>
      <c r="D137" s="2"/>
      <c r="E137" s="27"/>
      <c r="F137" s="18"/>
      <c r="G137" s="21"/>
    </row>
    <row r="138" spans="1:7" x14ac:dyDescent="0.3">
      <c r="A138" s="1"/>
      <c r="B138" s="1"/>
      <c r="C138" s="1"/>
      <c r="D138" s="2"/>
      <c r="E138" s="27"/>
      <c r="F138" s="18"/>
      <c r="G138" s="21"/>
    </row>
    <row r="139" spans="1:7" x14ac:dyDescent="0.3">
      <c r="A139" s="1"/>
      <c r="B139" s="1"/>
      <c r="C139" s="1"/>
      <c r="D139" s="2"/>
      <c r="E139" s="27"/>
      <c r="F139" s="18"/>
      <c r="G139" s="21"/>
    </row>
    <row r="140" spans="1:7" x14ac:dyDescent="0.3">
      <c r="A140" s="1"/>
      <c r="B140" s="1"/>
      <c r="C140" s="1"/>
      <c r="D140" s="2"/>
      <c r="E140" s="27"/>
      <c r="F140" s="18"/>
      <c r="G140" s="21"/>
    </row>
    <row r="141" spans="1:7" x14ac:dyDescent="0.3">
      <c r="A141" s="1"/>
      <c r="B141" s="1"/>
      <c r="C141" s="1"/>
      <c r="D141" s="2"/>
      <c r="E141" s="27"/>
      <c r="F141" s="18"/>
      <c r="G141" s="21"/>
    </row>
    <row r="142" spans="1:7" x14ac:dyDescent="0.3">
      <c r="A142" s="1"/>
      <c r="B142" s="1"/>
      <c r="C142" s="1"/>
      <c r="D142" s="2"/>
      <c r="E142" s="27"/>
      <c r="F142" s="18"/>
      <c r="G142" s="21"/>
    </row>
    <row r="143" spans="1:7" x14ac:dyDescent="0.3">
      <c r="A143" s="1"/>
      <c r="B143" s="1"/>
      <c r="C143" s="1"/>
      <c r="D143" s="2"/>
      <c r="E143" s="27"/>
      <c r="F143" s="18"/>
      <c r="G143" s="21"/>
    </row>
    <row r="144" spans="1:7" x14ac:dyDescent="0.3">
      <c r="A144" s="1"/>
      <c r="B144" s="1"/>
      <c r="C144" s="1"/>
      <c r="D144" s="2"/>
      <c r="E144" s="27"/>
      <c r="F144" s="18"/>
      <c r="G144" s="21"/>
    </row>
    <row r="145" spans="1:7" x14ac:dyDescent="0.3">
      <c r="A145" s="1"/>
      <c r="B145" s="1"/>
      <c r="C145" s="1"/>
      <c r="D145" s="2"/>
      <c r="E145" s="27"/>
      <c r="F145" s="18"/>
      <c r="G145" s="21"/>
    </row>
    <row r="146" spans="1:7" x14ac:dyDescent="0.3">
      <c r="A146" s="1"/>
      <c r="B146" s="1"/>
      <c r="C146" s="1"/>
      <c r="D146" s="2"/>
      <c r="E146" s="27"/>
      <c r="F146" s="18"/>
      <c r="G146" s="21"/>
    </row>
    <row r="147" spans="1:7" x14ac:dyDescent="0.3">
      <c r="A147" s="1"/>
      <c r="B147" s="1"/>
      <c r="C147" s="1"/>
      <c r="D147" s="2"/>
      <c r="E147" s="27"/>
      <c r="F147" s="18"/>
      <c r="G147" s="21"/>
    </row>
    <row r="148" spans="1:7" x14ac:dyDescent="0.3">
      <c r="A148" s="92" t="s">
        <v>138</v>
      </c>
      <c r="B148" s="93"/>
      <c r="C148" s="93"/>
      <c r="D148" s="94"/>
      <c r="E148" s="79">
        <f>SUM(D6:D147)</f>
        <v>49.61</v>
      </c>
      <c r="F148" s="19"/>
      <c r="G148" s="22"/>
    </row>
  </sheetData>
  <mergeCells count="4">
    <mergeCell ref="A148:D148"/>
    <mergeCell ref="A3:G3"/>
    <mergeCell ref="A2:G2"/>
    <mergeCell ref="A1:G1"/>
  </mergeCells>
  <conditionalFormatting sqref="E6:E200">
    <cfRule type="cellIs" dxfId="20" priority="1" operator="equal">
      <formula>"0: Environment Setup"</formula>
    </cfRule>
    <cfRule type="cellIs" dxfId="19" priority="2" operator="equal">
      <formula>"1A: UI Mockups"</formula>
    </cfRule>
    <cfRule type="cellIs" dxfId="18" priority="3" operator="equal">
      <formula>"1B: Project Structure"</formula>
    </cfRule>
    <cfRule type="cellIs" dxfId="17" priority="4" operator="equal">
      <formula>"1C: Database Setup"</formula>
    </cfRule>
    <cfRule type="cellIs" dxfId="16" priority="5" operator="equal">
      <formula>"1D: Authentication Feature"</formula>
    </cfRule>
    <cfRule type="cellIs" dxfId="15" priority="6" operator="equal">
      <formula>"1E: Basic Navigation"</formula>
    </cfRule>
    <cfRule type="cellIs" dxfId="14" priority="7" operator="equal">
      <formula>"2A: Open AI Integration"</formula>
    </cfRule>
    <cfRule type="cellIs" dxfId="13" priority="8" operator="equal">
      <formula>"2B: Safety Layer - CTAS Rules"</formula>
    </cfRule>
    <cfRule type="cellIs" dxfId="12" priority="9" operator="equal">
      <formula>"2C: ML Model Training"</formula>
    </cfRule>
    <cfRule type="cellIs" dxfId="11" priority="10" operator="equal">
      <formula>"2D: Chatbot UI + Integration"</formula>
    </cfRule>
    <cfRule type="cellIs" dxfId="10" priority="11" operator="equal">
      <formula>"3A: Home Dashboard"</formula>
    </cfRule>
    <cfRule type="cellIs" dxfId="9" priority="12" operator="equal">
      <formula>"3B: My Dashboard - Personal Analytics"</formula>
    </cfRule>
    <cfRule type="cellIs" dxfId="8" priority="13" operator="equal">
      <formula>"3C: Facility Finder"</formula>
    </cfRule>
    <cfRule type="cellIs" dxfId="7" priority="14" operator="equal">
      <formula>"3D: Health Education Library"</formula>
    </cfRule>
    <cfRule type="cellIs" dxfId="6" priority="15" operator="equal">
      <formula>"4A: System Analytics Data"</formula>
    </cfRule>
    <cfRule type="cellIs" dxfId="5" priority="16" operator="equal">
      <formula>"4B: System Analytics Dashboard"</formula>
    </cfRule>
    <cfRule type="cellIs" dxfId="4" priority="17" operator="equal">
      <formula>"5A: Deployment"</formula>
    </cfRule>
    <cfRule type="cellIs" dxfId="3" priority="18" operator="equal">
      <formula>"5B: Testing"</formula>
    </cfRule>
    <cfRule type="cellIs" dxfId="2" priority="19" operator="equal">
      <formula>"6: Documentation + Submission"</formula>
    </cfRule>
    <cfRule type="cellIs" dxfId="1" priority="20" operator="equal">
      <formula>"Learning &amp; Research"</formula>
    </cfRule>
    <cfRule type="cellIs" dxfId="0" priority="21" operator="equal">
      <formula>"Proof of Concept"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Invalid Category" error="Please select a category from the dropdown list." xr:uid="{00000000-0002-0000-0000-000000000000}">
          <x14:formula1>
            <xm:f>Categories!$A$4:$A$24</xm:f>
          </x14:formula1>
          <xm:sqref>E6:E200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6"/>
  <sheetViews>
    <sheetView topLeftCell="A42" workbookViewId="0">
      <selection activeCell="C11" sqref="C11:E11"/>
    </sheetView>
  </sheetViews>
  <sheetFormatPr defaultRowHeight="14.4" x14ac:dyDescent="0.3"/>
  <cols>
    <col min="1" max="1" width="35" customWidth="1"/>
    <col min="2" max="2" width="24.88671875" bestFit="1" customWidth="1"/>
    <col min="3" max="3" width="13.6640625" bestFit="1" customWidth="1"/>
    <col min="4" max="4" width="11.6640625" bestFit="1" customWidth="1"/>
    <col min="5" max="14" width="8" customWidth="1"/>
  </cols>
  <sheetData>
    <row r="1" spans="1:14" ht="22.8" customHeight="1" x14ac:dyDescent="0.4">
      <c r="A1" s="87" t="s">
        <v>139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</row>
    <row r="3" spans="1:14" ht="15.6" customHeight="1" x14ac:dyDescent="0.3">
      <c r="A3" s="86" t="s">
        <v>140</v>
      </c>
      <c r="B3" s="81"/>
      <c r="C3" s="81"/>
      <c r="D3" s="81"/>
      <c r="E3" s="81"/>
    </row>
    <row r="4" spans="1:14" x14ac:dyDescent="0.3">
      <c r="A4" s="38" t="s">
        <v>4</v>
      </c>
      <c r="B4" s="38" t="s">
        <v>141</v>
      </c>
      <c r="C4" s="38" t="s">
        <v>142</v>
      </c>
      <c r="D4" s="38" t="s">
        <v>143</v>
      </c>
      <c r="E4" s="38" t="s">
        <v>144</v>
      </c>
    </row>
    <row r="5" spans="1:14" x14ac:dyDescent="0.3">
      <c r="A5" s="39">
        <v>0</v>
      </c>
      <c r="B5" s="40" t="s">
        <v>145</v>
      </c>
      <c r="C5" s="41">
        <v>5</v>
      </c>
      <c r="D5" s="42">
        <f>B45</f>
        <v>11.85</v>
      </c>
      <c r="E5" s="43">
        <f t="shared" ref="E5:E11" si="0">IF(C5=0,0,MIN(D5/C5,1))</f>
        <v>1</v>
      </c>
    </row>
    <row r="6" spans="1:14" x14ac:dyDescent="0.3">
      <c r="A6" s="44">
        <v>1</v>
      </c>
      <c r="B6" s="45" t="s">
        <v>146</v>
      </c>
      <c r="C6" s="41">
        <v>15</v>
      </c>
      <c r="D6" s="42">
        <f>SUM(B46:B50)</f>
        <v>14.26</v>
      </c>
      <c r="E6" s="43">
        <f t="shared" si="0"/>
        <v>0.95066666666666666</v>
      </c>
    </row>
    <row r="7" spans="1:14" x14ac:dyDescent="0.3">
      <c r="A7" s="46">
        <v>2</v>
      </c>
      <c r="B7" s="47" t="s">
        <v>147</v>
      </c>
      <c r="C7" s="41">
        <v>25</v>
      </c>
      <c r="D7" s="42">
        <f>SUM(B51:B54)</f>
        <v>0</v>
      </c>
      <c r="E7" s="43">
        <f t="shared" si="0"/>
        <v>0</v>
      </c>
    </row>
    <row r="8" spans="1:14" x14ac:dyDescent="0.3">
      <c r="A8" s="48">
        <v>3</v>
      </c>
      <c r="B8" s="49" t="s">
        <v>148</v>
      </c>
      <c r="C8" s="41">
        <v>20</v>
      </c>
      <c r="D8" s="42">
        <f>SUM(B55:B58)</f>
        <v>0</v>
      </c>
      <c r="E8" s="43">
        <f t="shared" si="0"/>
        <v>0</v>
      </c>
    </row>
    <row r="9" spans="1:14" x14ac:dyDescent="0.3">
      <c r="A9" s="50">
        <v>4</v>
      </c>
      <c r="B9" s="51" t="s">
        <v>149</v>
      </c>
      <c r="C9" s="41">
        <v>20</v>
      </c>
      <c r="D9" s="42">
        <f>SUM(B59:B60)</f>
        <v>0</v>
      </c>
      <c r="E9" s="43">
        <f t="shared" si="0"/>
        <v>0</v>
      </c>
    </row>
    <row r="10" spans="1:14" x14ac:dyDescent="0.3">
      <c r="A10" s="52">
        <v>5</v>
      </c>
      <c r="B10" s="53" t="s">
        <v>150</v>
      </c>
      <c r="C10" s="41">
        <v>15</v>
      </c>
      <c r="D10" s="42">
        <f>SUM(B61:B62)</f>
        <v>0</v>
      </c>
      <c r="E10" s="43">
        <f t="shared" si="0"/>
        <v>0</v>
      </c>
    </row>
    <row r="11" spans="1:14" x14ac:dyDescent="0.3">
      <c r="A11" s="54">
        <v>6</v>
      </c>
      <c r="B11" s="55" t="s">
        <v>151</v>
      </c>
      <c r="C11" s="97">
        <v>18</v>
      </c>
      <c r="D11" s="98">
        <f>SUM(B63)</f>
        <v>6.5</v>
      </c>
      <c r="E11" s="99">
        <f t="shared" si="0"/>
        <v>0.3611111111111111</v>
      </c>
    </row>
    <row r="12" spans="1:14" x14ac:dyDescent="0.3">
      <c r="A12" s="56" t="s">
        <v>152</v>
      </c>
      <c r="B12" s="57"/>
      <c r="C12" s="58">
        <f>SUM(C5:C11)</f>
        <v>118</v>
      </c>
      <c r="D12" s="59">
        <f>SUM(D5:D11)</f>
        <v>32.61</v>
      </c>
      <c r="E12" s="60">
        <f>IF(C12=0,0,D12/C12)</f>
        <v>0.27635593220338983</v>
      </c>
    </row>
    <row r="14" spans="1:14" ht="15.6" customHeight="1" x14ac:dyDescent="0.3">
      <c r="A14" s="86" t="s">
        <v>153</v>
      </c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</row>
    <row r="15" spans="1:14" x14ac:dyDescent="0.3">
      <c r="A15" s="38" t="s">
        <v>154</v>
      </c>
      <c r="B15" s="38" t="s">
        <v>155</v>
      </c>
      <c r="C15" s="38" t="s">
        <v>156</v>
      </c>
      <c r="D15" s="38" t="s">
        <v>157</v>
      </c>
      <c r="E15" s="38" t="s">
        <v>158</v>
      </c>
      <c r="F15" s="38" t="s">
        <v>159</v>
      </c>
      <c r="G15" s="38" t="s">
        <v>160</v>
      </c>
      <c r="H15" s="38" t="s">
        <v>161</v>
      </c>
      <c r="I15" s="38" t="s">
        <v>162</v>
      </c>
      <c r="J15" s="38" t="s">
        <v>163</v>
      </c>
      <c r="K15" s="38" t="s">
        <v>164</v>
      </c>
      <c r="L15" s="38" t="s">
        <v>165</v>
      </c>
      <c r="M15" s="38" t="s">
        <v>166</v>
      </c>
      <c r="N15" s="38" t="s">
        <v>167</v>
      </c>
    </row>
    <row r="16" spans="1:14" x14ac:dyDescent="0.3">
      <c r="A16" s="61"/>
      <c r="B16" s="61" t="s">
        <v>168</v>
      </c>
      <c r="C16" s="61" t="s">
        <v>169</v>
      </c>
      <c r="D16" s="61" t="s">
        <v>170</v>
      </c>
      <c r="E16" s="61" t="s">
        <v>171</v>
      </c>
      <c r="F16" s="61" t="s">
        <v>172</v>
      </c>
      <c r="G16" s="61" t="s">
        <v>173</v>
      </c>
      <c r="H16" s="61" t="s">
        <v>174</v>
      </c>
      <c r="I16" s="61" t="s">
        <v>175</v>
      </c>
      <c r="J16" s="61" t="s">
        <v>176</v>
      </c>
      <c r="K16" s="61" t="s">
        <v>177</v>
      </c>
      <c r="L16" s="61" t="s">
        <v>178</v>
      </c>
      <c r="M16" s="61" t="s">
        <v>179</v>
      </c>
      <c r="N16" s="61" t="s">
        <v>180</v>
      </c>
    </row>
    <row r="17" spans="1:14" x14ac:dyDescent="0.3">
      <c r="A17" s="56" t="s">
        <v>181</v>
      </c>
      <c r="B17" s="62"/>
      <c r="C17" s="40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</row>
    <row r="18" spans="1:14" x14ac:dyDescent="0.3">
      <c r="A18" s="56" t="s">
        <v>182</v>
      </c>
      <c r="B18" s="63"/>
      <c r="C18" s="45"/>
      <c r="D18" s="45"/>
      <c r="E18" s="57"/>
      <c r="F18" s="57"/>
      <c r="G18" s="57"/>
      <c r="H18" s="57"/>
      <c r="I18" s="57"/>
      <c r="J18" s="57"/>
      <c r="K18" s="57"/>
      <c r="L18" s="57"/>
      <c r="M18" s="57"/>
      <c r="N18" s="57"/>
    </row>
    <row r="19" spans="1:14" x14ac:dyDescent="0.3">
      <c r="A19" s="65" t="s">
        <v>183</v>
      </c>
      <c r="B19" s="57"/>
      <c r="C19" s="45"/>
      <c r="D19" s="64"/>
      <c r="E19" s="64"/>
      <c r="F19" s="57"/>
      <c r="G19" s="57"/>
      <c r="H19" s="57"/>
      <c r="I19" s="57"/>
      <c r="J19" s="57"/>
      <c r="K19" s="57"/>
      <c r="L19" s="57"/>
      <c r="M19" s="57"/>
      <c r="N19" s="57"/>
    </row>
    <row r="20" spans="1:14" x14ac:dyDescent="0.3">
      <c r="A20" s="65" t="s">
        <v>184</v>
      </c>
      <c r="B20" s="57"/>
      <c r="C20" s="45"/>
      <c r="D20" s="64"/>
      <c r="E20" s="57"/>
      <c r="F20" s="57"/>
      <c r="G20" s="57"/>
      <c r="H20" s="57"/>
      <c r="I20" s="57"/>
      <c r="J20" s="57"/>
      <c r="K20" s="57"/>
      <c r="L20" s="57"/>
      <c r="M20" s="57"/>
      <c r="N20" s="57"/>
    </row>
    <row r="21" spans="1:14" x14ac:dyDescent="0.3">
      <c r="A21" s="65" t="s">
        <v>185</v>
      </c>
      <c r="B21" s="57"/>
      <c r="C21" s="45"/>
      <c r="D21" s="64"/>
      <c r="E21" s="64"/>
      <c r="F21" s="57"/>
      <c r="G21" s="57"/>
      <c r="H21" s="57"/>
      <c r="I21" s="57"/>
      <c r="J21" s="57"/>
      <c r="K21" s="57"/>
      <c r="L21" s="57"/>
      <c r="M21" s="57"/>
      <c r="N21" s="57"/>
    </row>
    <row r="22" spans="1:14" x14ac:dyDescent="0.3">
      <c r="A22" s="65" t="s">
        <v>186</v>
      </c>
      <c r="B22" s="57"/>
      <c r="C22" s="45"/>
      <c r="D22" s="45"/>
      <c r="E22" s="64"/>
      <c r="F22" s="57"/>
      <c r="G22" s="57"/>
      <c r="H22" s="57"/>
      <c r="I22" s="57"/>
      <c r="J22" s="57"/>
      <c r="K22" s="57"/>
      <c r="L22" s="57"/>
      <c r="M22" s="57"/>
      <c r="N22" s="57"/>
    </row>
    <row r="23" spans="1:14" x14ac:dyDescent="0.3">
      <c r="A23" s="65" t="s">
        <v>187</v>
      </c>
      <c r="B23" s="57"/>
      <c r="C23" s="57"/>
      <c r="D23" s="45"/>
      <c r="E23" s="57"/>
      <c r="F23" s="66"/>
      <c r="G23" s="66"/>
      <c r="H23" s="57"/>
      <c r="I23" s="57"/>
      <c r="J23" s="57"/>
      <c r="K23" s="57"/>
      <c r="L23" s="57"/>
      <c r="M23" s="57"/>
      <c r="N23" s="57"/>
    </row>
    <row r="24" spans="1:14" x14ac:dyDescent="0.3">
      <c r="A24" s="56" t="s">
        <v>188</v>
      </c>
      <c r="B24" s="57"/>
      <c r="C24" s="57"/>
      <c r="D24" s="47"/>
      <c r="E24" s="47"/>
      <c r="F24" s="47"/>
      <c r="G24" s="57"/>
      <c r="H24" s="57"/>
      <c r="I24" s="57"/>
      <c r="J24" s="57"/>
      <c r="K24" s="57"/>
      <c r="L24" s="57"/>
      <c r="M24" s="57"/>
      <c r="N24" s="57"/>
    </row>
    <row r="25" spans="1:14" x14ac:dyDescent="0.3">
      <c r="A25" s="65" t="s">
        <v>189</v>
      </c>
      <c r="B25" s="57"/>
      <c r="C25" s="57"/>
      <c r="D25" s="47"/>
      <c r="E25" s="47"/>
      <c r="F25" s="66"/>
      <c r="G25" s="66"/>
      <c r="H25" s="57"/>
      <c r="I25" s="57"/>
      <c r="J25" s="57"/>
      <c r="K25" s="57"/>
      <c r="L25" s="57"/>
      <c r="M25" s="57"/>
      <c r="N25" s="57"/>
    </row>
    <row r="26" spans="1:14" x14ac:dyDescent="0.3">
      <c r="A26" s="65" t="s">
        <v>190</v>
      </c>
      <c r="B26" s="57"/>
      <c r="C26" s="57"/>
      <c r="D26" s="57"/>
      <c r="E26" s="47"/>
      <c r="F26" s="57"/>
      <c r="G26" s="66"/>
      <c r="H26" s="57"/>
      <c r="I26" s="57"/>
      <c r="J26" s="57"/>
      <c r="K26" s="57"/>
      <c r="L26" s="57"/>
      <c r="M26" s="57"/>
      <c r="N26" s="57"/>
    </row>
    <row r="27" spans="1:14" x14ac:dyDescent="0.3">
      <c r="A27" s="65" t="s">
        <v>191</v>
      </c>
      <c r="B27" s="57"/>
      <c r="C27" s="57"/>
      <c r="D27" s="57"/>
      <c r="E27" s="47"/>
      <c r="F27" s="47"/>
      <c r="G27" s="57"/>
      <c r="H27" s="67"/>
      <c r="I27" s="67"/>
      <c r="J27" s="57"/>
      <c r="K27" s="57"/>
      <c r="L27" s="57"/>
      <c r="M27" s="57"/>
      <c r="N27" s="57"/>
    </row>
    <row r="28" spans="1:14" x14ac:dyDescent="0.3">
      <c r="A28" s="65" t="s">
        <v>192</v>
      </c>
      <c r="B28" s="57"/>
      <c r="C28" s="57"/>
      <c r="D28" s="57"/>
      <c r="E28" s="57"/>
      <c r="F28" s="47"/>
      <c r="G28" s="57"/>
      <c r="H28" s="67"/>
      <c r="I28" s="57"/>
      <c r="J28" s="57"/>
      <c r="K28" s="57"/>
      <c r="L28" s="57"/>
      <c r="M28" s="57"/>
      <c r="N28" s="57"/>
    </row>
    <row r="29" spans="1:14" x14ac:dyDescent="0.3">
      <c r="A29" s="56" t="s">
        <v>193</v>
      </c>
      <c r="B29" s="57"/>
      <c r="C29" s="57"/>
      <c r="D29" s="57"/>
      <c r="E29" s="57"/>
      <c r="F29" s="49"/>
      <c r="G29" s="49"/>
      <c r="H29" s="49"/>
      <c r="I29" s="67"/>
      <c r="J29" s="57"/>
      <c r="K29" s="57"/>
      <c r="L29" s="57"/>
      <c r="M29" s="57"/>
      <c r="N29" s="57"/>
    </row>
    <row r="30" spans="1:14" x14ac:dyDescent="0.3">
      <c r="A30" s="65" t="s">
        <v>194</v>
      </c>
      <c r="B30" s="57"/>
      <c r="C30" s="57"/>
      <c r="D30" s="57"/>
      <c r="E30" s="57"/>
      <c r="F30" s="49"/>
      <c r="G30" s="49"/>
      <c r="H30" s="57"/>
      <c r="I30" s="67"/>
      <c r="J30" s="57"/>
      <c r="K30" s="57"/>
      <c r="L30" s="57"/>
      <c r="M30" s="57"/>
      <c r="N30" s="57"/>
    </row>
    <row r="31" spans="1:14" x14ac:dyDescent="0.3">
      <c r="A31" s="65" t="s">
        <v>195</v>
      </c>
      <c r="B31" s="57"/>
      <c r="C31" s="57"/>
      <c r="D31" s="57"/>
      <c r="E31" s="57"/>
      <c r="F31" s="57"/>
      <c r="G31" s="49"/>
      <c r="H31" s="57"/>
      <c r="I31" s="57"/>
      <c r="J31" s="68"/>
      <c r="K31" s="68"/>
      <c r="L31" s="57"/>
      <c r="M31" s="57"/>
      <c r="N31" s="57"/>
    </row>
    <row r="32" spans="1:14" x14ac:dyDescent="0.3">
      <c r="A32" s="65" t="s">
        <v>196</v>
      </c>
      <c r="B32" s="57"/>
      <c r="C32" s="57"/>
      <c r="D32" s="57"/>
      <c r="E32" s="57"/>
      <c r="F32" s="57"/>
      <c r="G32" s="49"/>
      <c r="H32" s="49"/>
      <c r="I32" s="57"/>
      <c r="J32" s="68"/>
      <c r="K32" s="57"/>
      <c r="L32" s="57"/>
      <c r="M32" s="57"/>
      <c r="N32" s="57"/>
    </row>
    <row r="33" spans="1:14" x14ac:dyDescent="0.3">
      <c r="A33" s="65" t="s">
        <v>197</v>
      </c>
      <c r="B33" s="57"/>
      <c r="C33" s="57"/>
      <c r="D33" s="57"/>
      <c r="E33" s="57"/>
      <c r="F33" s="57"/>
      <c r="G33" s="57"/>
      <c r="H33" s="49"/>
      <c r="I33" s="57"/>
      <c r="J33" s="68"/>
      <c r="K33" s="68"/>
      <c r="L33" s="57"/>
      <c r="M33" s="57"/>
      <c r="N33" s="57"/>
    </row>
    <row r="34" spans="1:14" x14ac:dyDescent="0.3">
      <c r="A34" s="56" t="s">
        <v>198</v>
      </c>
      <c r="B34" s="57"/>
      <c r="C34" s="57"/>
      <c r="D34" s="57"/>
      <c r="E34" s="57"/>
      <c r="F34" s="57"/>
      <c r="G34" s="57"/>
      <c r="H34" s="51"/>
      <c r="I34" s="51"/>
      <c r="J34" s="51"/>
      <c r="K34" s="68"/>
      <c r="L34" s="57"/>
      <c r="M34" s="57"/>
      <c r="N34" s="57"/>
    </row>
    <row r="35" spans="1:14" x14ac:dyDescent="0.3">
      <c r="A35" s="65" t="s">
        <v>199</v>
      </c>
      <c r="B35" s="57"/>
      <c r="C35" s="57"/>
      <c r="D35" s="57"/>
      <c r="E35" s="57"/>
      <c r="F35" s="69" t="s">
        <v>200</v>
      </c>
      <c r="G35" s="57"/>
      <c r="H35" s="51"/>
      <c r="I35" s="51"/>
      <c r="J35" s="57"/>
      <c r="K35" s="57"/>
      <c r="L35" s="57"/>
      <c r="M35" s="57"/>
      <c r="N35" s="57"/>
    </row>
    <row r="36" spans="1:14" x14ac:dyDescent="0.3">
      <c r="A36" s="65" t="s">
        <v>201</v>
      </c>
      <c r="B36" s="57"/>
      <c r="C36" s="57"/>
      <c r="D36" s="57"/>
      <c r="E36" s="57"/>
      <c r="F36" s="57"/>
      <c r="G36" s="57"/>
      <c r="H36" s="57"/>
      <c r="I36" s="51"/>
      <c r="J36" s="51"/>
      <c r="K36" s="57"/>
      <c r="L36" s="57"/>
      <c r="M36" s="57"/>
      <c r="N36" s="69" t="s">
        <v>200</v>
      </c>
    </row>
    <row r="37" spans="1:14" x14ac:dyDescent="0.3">
      <c r="A37" s="56" t="s">
        <v>202</v>
      </c>
      <c r="B37" s="57"/>
      <c r="C37" s="57"/>
      <c r="D37" s="57"/>
      <c r="E37" s="57"/>
      <c r="F37" s="57"/>
      <c r="G37" s="57"/>
      <c r="H37" s="57"/>
      <c r="I37" s="57"/>
      <c r="J37" s="53"/>
      <c r="K37" s="53"/>
      <c r="L37" s="53"/>
      <c r="M37" s="57"/>
      <c r="N37" s="57"/>
    </row>
    <row r="38" spans="1:14" x14ac:dyDescent="0.3">
      <c r="A38" s="65" t="s">
        <v>203</v>
      </c>
      <c r="B38" s="57"/>
      <c r="C38" s="57"/>
      <c r="D38" s="57"/>
      <c r="E38" s="57"/>
      <c r="F38" s="57"/>
      <c r="G38" s="57"/>
      <c r="H38" s="57"/>
      <c r="I38" s="57"/>
      <c r="J38" s="53"/>
      <c r="K38" s="53"/>
      <c r="L38" s="57"/>
      <c r="M38" s="57"/>
      <c r="N38" s="57"/>
    </row>
    <row r="39" spans="1:14" x14ac:dyDescent="0.3">
      <c r="A39" s="65" t="s">
        <v>204</v>
      </c>
      <c r="B39" s="57"/>
      <c r="C39" s="57"/>
      <c r="D39" s="57"/>
      <c r="E39" s="57"/>
      <c r="F39" s="57"/>
      <c r="G39" s="57"/>
      <c r="H39" s="57"/>
      <c r="I39" s="57"/>
      <c r="J39" s="57"/>
      <c r="K39" s="53"/>
      <c r="L39" s="53"/>
      <c r="M39" s="57"/>
      <c r="N39" s="57"/>
    </row>
    <row r="40" spans="1:14" ht="15.6" customHeight="1" x14ac:dyDescent="0.3">
      <c r="A40" s="56" t="s">
        <v>205</v>
      </c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5"/>
      <c r="M40" s="55"/>
      <c r="N40" s="55"/>
    </row>
    <row r="41" spans="1:14" s="96" customFormat="1" ht="15.6" customHeight="1" x14ac:dyDescent="0.3">
      <c r="A41" s="95"/>
    </row>
    <row r="42" spans="1:14" x14ac:dyDescent="0.3">
      <c r="A42" s="3" t="s">
        <v>7</v>
      </c>
      <c r="B42" s="3" t="s">
        <v>6</v>
      </c>
      <c r="C42" s="80"/>
    </row>
    <row r="43" spans="1:14" ht="15.6" x14ac:dyDescent="0.3">
      <c r="A43" s="70" t="s">
        <v>206</v>
      </c>
      <c r="B43" s="5"/>
      <c r="C43" s="4"/>
    </row>
    <row r="44" spans="1:14" x14ac:dyDescent="0.3">
      <c r="A44" s="38" t="s">
        <v>7</v>
      </c>
      <c r="B44" s="71" t="s">
        <v>6</v>
      </c>
      <c r="C44" s="4"/>
    </row>
    <row r="45" spans="1:14" x14ac:dyDescent="0.3">
      <c r="A45" s="40" t="s">
        <v>12</v>
      </c>
      <c r="B45" s="42">
        <f>SUMIF('Work Log'!E:E,"0: Environment Setup",'Work Log'!D:D)</f>
        <v>11.85</v>
      </c>
      <c r="C45" s="4"/>
    </row>
    <row r="46" spans="1:14" x14ac:dyDescent="0.3">
      <c r="A46" s="45" t="s">
        <v>95</v>
      </c>
      <c r="B46" s="42">
        <f>SUMIF('Work Log'!E:E,"1A: UI Mockups",'Work Log'!D:D)</f>
        <v>2.81</v>
      </c>
      <c r="C46" s="4"/>
    </row>
    <row r="47" spans="1:14" x14ac:dyDescent="0.3">
      <c r="A47" s="45" t="s">
        <v>114</v>
      </c>
      <c r="B47" s="42">
        <f>SUMIF('Work Log'!E:E,"1B: Project Structure",'Work Log'!D:D)</f>
        <v>0.67</v>
      </c>
      <c r="C47" s="4"/>
    </row>
    <row r="48" spans="1:14" x14ac:dyDescent="0.3">
      <c r="A48" s="45" t="s">
        <v>122</v>
      </c>
      <c r="B48" s="42">
        <f>SUMIF('Work Log'!E:E,"1C: Database Setup",'Work Log'!D:D)</f>
        <v>3.18</v>
      </c>
      <c r="C48" s="4"/>
    </row>
    <row r="49" spans="1:3" x14ac:dyDescent="0.3">
      <c r="A49" s="45" t="s">
        <v>207</v>
      </c>
      <c r="B49" s="42">
        <f>SUMIF('Work Log'!E:E,"1D: Authentication Feature",'Work Log'!D:D)</f>
        <v>6</v>
      </c>
      <c r="C49" s="4"/>
    </row>
    <row r="50" spans="1:3" x14ac:dyDescent="0.3">
      <c r="A50" s="45" t="s">
        <v>208</v>
      </c>
      <c r="B50" s="42">
        <f>SUMIF('Work Log'!E:E,"1E: Basic Navigation",'Work Log'!D:D)</f>
        <v>1.5999999999999999</v>
      </c>
      <c r="C50" s="4"/>
    </row>
    <row r="51" spans="1:3" x14ac:dyDescent="0.3">
      <c r="A51" s="47" t="s">
        <v>209</v>
      </c>
      <c r="B51" s="42">
        <f>SUMIF('Work Log'!E:E,"2A: Open AI Integration",'Work Log'!D:D)</f>
        <v>0</v>
      </c>
      <c r="C51" s="4"/>
    </row>
    <row r="52" spans="1:3" x14ac:dyDescent="0.3">
      <c r="A52" s="47" t="s">
        <v>210</v>
      </c>
      <c r="B52" s="42">
        <f>SUMIF('Work Log'!E:E,"2B: Safety Layer - CTAS Rules",'Work Log'!D:D)</f>
        <v>0</v>
      </c>
      <c r="C52" s="4"/>
    </row>
    <row r="53" spans="1:3" x14ac:dyDescent="0.3">
      <c r="A53" s="47" t="s">
        <v>211</v>
      </c>
      <c r="B53" s="42">
        <f>SUMIF('Work Log'!E:E,"2C: ML Model Training",'Work Log'!D:D)</f>
        <v>0</v>
      </c>
      <c r="C53" s="4"/>
    </row>
    <row r="54" spans="1:3" x14ac:dyDescent="0.3">
      <c r="A54" s="47" t="s">
        <v>212</v>
      </c>
      <c r="B54" s="42">
        <f>SUMIF('Work Log'!E:E,"2D: Chatbot UI + Integration",'Work Log'!D:D)</f>
        <v>0</v>
      </c>
      <c r="C54" s="4"/>
    </row>
    <row r="55" spans="1:3" x14ac:dyDescent="0.3">
      <c r="A55" s="49" t="s">
        <v>213</v>
      </c>
      <c r="B55" s="42">
        <f>SUMIF('Work Log'!E:E,"3A: Home Dashboard",'Work Log'!D:D)</f>
        <v>0</v>
      </c>
      <c r="C55" s="4"/>
    </row>
    <row r="56" spans="1:3" x14ac:dyDescent="0.3">
      <c r="A56" s="49" t="s">
        <v>214</v>
      </c>
      <c r="B56" s="42">
        <f>SUMIF('Work Log'!E:E,"3B: My Dashboard - Personal Analytics",'Work Log'!D:D)</f>
        <v>0</v>
      </c>
      <c r="C56" s="4"/>
    </row>
    <row r="57" spans="1:3" x14ac:dyDescent="0.3">
      <c r="A57" s="49" t="s">
        <v>215</v>
      </c>
      <c r="B57" s="42">
        <f>SUMIF('Work Log'!E:E,"3C: Facility Finder",'Work Log'!D:D)</f>
        <v>0</v>
      </c>
      <c r="C57" s="4"/>
    </row>
    <row r="58" spans="1:3" x14ac:dyDescent="0.3">
      <c r="A58" s="49" t="s">
        <v>216</v>
      </c>
      <c r="B58" s="42">
        <f>SUMIF('Work Log'!E:E,"3D: Health Education Library",'Work Log'!D:D)</f>
        <v>0</v>
      </c>
      <c r="C58" s="4"/>
    </row>
    <row r="59" spans="1:3" x14ac:dyDescent="0.3">
      <c r="A59" s="51" t="s">
        <v>217</v>
      </c>
      <c r="B59" s="42">
        <f>SUMIF('Work Log'!E:E,"4A: System Analytics Data",'Work Log'!D:D)</f>
        <v>0</v>
      </c>
      <c r="C59" s="4"/>
    </row>
    <row r="60" spans="1:3" x14ac:dyDescent="0.3">
      <c r="A60" s="51" t="s">
        <v>218</v>
      </c>
      <c r="B60" s="42">
        <f>SUMIF('Work Log'!E:E,"4B: System Analytics Dashboard",'Work Log'!D:D)</f>
        <v>0</v>
      </c>
      <c r="C60" s="4"/>
    </row>
    <row r="61" spans="1:3" x14ac:dyDescent="0.3">
      <c r="A61" s="53" t="s">
        <v>219</v>
      </c>
      <c r="B61" s="42">
        <f>SUMIF('Work Log'!E:E,"5A: Deployment",'Work Log'!D:D)</f>
        <v>0</v>
      </c>
    </row>
    <row r="62" spans="1:3" x14ac:dyDescent="0.3">
      <c r="A62" s="53" t="s">
        <v>220</v>
      </c>
      <c r="B62" s="42">
        <f>SUMIF('Work Log'!E:E,"5B: Testing",'Work Log'!D:D)</f>
        <v>0</v>
      </c>
    </row>
    <row r="63" spans="1:3" x14ac:dyDescent="0.3">
      <c r="A63" s="55" t="s">
        <v>37</v>
      </c>
      <c r="B63" s="42">
        <f>SUMIF('Work Log'!E:E,"6: Documentation + Submission",'Work Log'!D:D)</f>
        <v>6.5</v>
      </c>
    </row>
    <row r="64" spans="1:3" x14ac:dyDescent="0.3">
      <c r="A64" s="72" t="s">
        <v>17</v>
      </c>
      <c r="B64" s="42">
        <f>SUMIF('Work Log'!E:E,"Learning &amp; Research",'Work Log'!D:D)</f>
        <v>17</v>
      </c>
    </row>
    <row r="65" spans="1:2" x14ac:dyDescent="0.3">
      <c r="A65" s="73" t="s">
        <v>221</v>
      </c>
      <c r="B65" s="42">
        <f>SUMIF('Work Log'!E:E,"Proof of Concept",'Work Log'!D:D)</f>
        <v>0</v>
      </c>
    </row>
    <row r="66" spans="1:2" x14ac:dyDescent="0.3">
      <c r="A66" s="56" t="s">
        <v>152</v>
      </c>
      <c r="B66" s="59">
        <f>SUM(B45:B65)</f>
        <v>49.61</v>
      </c>
    </row>
  </sheetData>
  <mergeCells count="3">
    <mergeCell ref="A3:E3"/>
    <mergeCell ref="A14:N14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4"/>
  <sheetViews>
    <sheetView workbookViewId="0">
      <selection activeCell="C24" sqref="C24"/>
    </sheetView>
  </sheetViews>
  <sheetFormatPr defaultRowHeight="14.4" x14ac:dyDescent="0.3"/>
  <cols>
    <col min="1" max="1" width="33.109375" bestFit="1" customWidth="1"/>
    <col min="2" max="2" width="8" customWidth="1"/>
    <col min="3" max="3" width="50" customWidth="1"/>
  </cols>
  <sheetData>
    <row r="1" spans="1:3" ht="21" customHeight="1" x14ac:dyDescent="0.4">
      <c r="A1" s="6" t="s">
        <v>222</v>
      </c>
    </row>
    <row r="3" spans="1:3" x14ac:dyDescent="0.3">
      <c r="A3" s="7" t="s">
        <v>7</v>
      </c>
      <c r="B3" s="7" t="s">
        <v>4</v>
      </c>
      <c r="C3" s="7" t="s">
        <v>223</v>
      </c>
    </row>
    <row r="4" spans="1:3" x14ac:dyDescent="0.3">
      <c r="A4" s="8" t="s">
        <v>12</v>
      </c>
      <c r="B4" s="9">
        <v>0</v>
      </c>
      <c r="C4" t="s">
        <v>224</v>
      </c>
    </row>
    <row r="5" spans="1:3" x14ac:dyDescent="0.3">
      <c r="A5" s="10" t="s">
        <v>95</v>
      </c>
      <c r="B5" s="9">
        <v>1</v>
      </c>
      <c r="C5" t="s">
        <v>225</v>
      </c>
    </row>
    <row r="6" spans="1:3" x14ac:dyDescent="0.3">
      <c r="A6" s="10" t="s">
        <v>114</v>
      </c>
      <c r="B6" s="9">
        <v>1</v>
      </c>
      <c r="C6" t="s">
        <v>226</v>
      </c>
    </row>
    <row r="7" spans="1:3" x14ac:dyDescent="0.3">
      <c r="A7" s="10" t="s">
        <v>122</v>
      </c>
      <c r="B7" s="9">
        <v>1</v>
      </c>
      <c r="C7" t="s">
        <v>227</v>
      </c>
    </row>
    <row r="8" spans="1:3" x14ac:dyDescent="0.3">
      <c r="A8" s="10" t="s">
        <v>207</v>
      </c>
      <c r="B8" s="9">
        <v>1</v>
      </c>
      <c r="C8" t="s">
        <v>228</v>
      </c>
    </row>
    <row r="9" spans="1:3" x14ac:dyDescent="0.3">
      <c r="A9" s="10" t="s">
        <v>208</v>
      </c>
      <c r="B9" s="9">
        <v>1</v>
      </c>
      <c r="C9" t="s">
        <v>229</v>
      </c>
    </row>
    <row r="10" spans="1:3" x14ac:dyDescent="0.3">
      <c r="A10" s="11" t="s">
        <v>209</v>
      </c>
      <c r="B10" s="9">
        <v>2</v>
      </c>
      <c r="C10" t="s">
        <v>230</v>
      </c>
    </row>
    <row r="11" spans="1:3" x14ac:dyDescent="0.3">
      <c r="A11" s="11" t="s">
        <v>210</v>
      </c>
      <c r="B11" s="9">
        <v>2</v>
      </c>
      <c r="C11" t="s">
        <v>231</v>
      </c>
    </row>
    <row r="12" spans="1:3" x14ac:dyDescent="0.3">
      <c r="A12" s="11" t="s">
        <v>211</v>
      </c>
      <c r="B12" s="9">
        <v>2</v>
      </c>
      <c r="C12" t="s">
        <v>232</v>
      </c>
    </row>
    <row r="13" spans="1:3" x14ac:dyDescent="0.3">
      <c r="A13" s="11" t="s">
        <v>212</v>
      </c>
      <c r="B13" s="9">
        <v>2</v>
      </c>
      <c r="C13" t="s">
        <v>233</v>
      </c>
    </row>
    <row r="14" spans="1:3" x14ac:dyDescent="0.3">
      <c r="A14" s="12" t="s">
        <v>213</v>
      </c>
      <c r="B14" s="9">
        <v>3</v>
      </c>
      <c r="C14" t="s">
        <v>234</v>
      </c>
    </row>
    <row r="15" spans="1:3" x14ac:dyDescent="0.3">
      <c r="A15" s="12" t="s">
        <v>235</v>
      </c>
      <c r="B15" s="9">
        <v>3</v>
      </c>
    </row>
    <row r="16" spans="1:3" x14ac:dyDescent="0.3">
      <c r="A16" s="12" t="s">
        <v>215</v>
      </c>
      <c r="B16" s="9">
        <v>3</v>
      </c>
      <c r="C16" t="s">
        <v>236</v>
      </c>
    </row>
    <row r="17" spans="1:3" x14ac:dyDescent="0.3">
      <c r="A17" s="12" t="s">
        <v>216</v>
      </c>
      <c r="B17" s="9">
        <v>3</v>
      </c>
      <c r="C17" t="s">
        <v>237</v>
      </c>
    </row>
    <row r="18" spans="1:3" x14ac:dyDescent="0.3">
      <c r="A18" s="13" t="s">
        <v>217</v>
      </c>
      <c r="B18" s="9">
        <v>4</v>
      </c>
      <c r="C18" t="s">
        <v>238</v>
      </c>
    </row>
    <row r="19" spans="1:3" x14ac:dyDescent="0.3">
      <c r="A19" s="13" t="s">
        <v>218</v>
      </c>
      <c r="B19" s="9">
        <v>4</v>
      </c>
      <c r="C19" t="s">
        <v>239</v>
      </c>
    </row>
    <row r="20" spans="1:3" x14ac:dyDescent="0.3">
      <c r="A20" s="14" t="s">
        <v>219</v>
      </c>
      <c r="B20" s="9">
        <v>5</v>
      </c>
      <c r="C20" t="s">
        <v>240</v>
      </c>
    </row>
    <row r="21" spans="1:3" x14ac:dyDescent="0.3">
      <c r="A21" s="14" t="s">
        <v>220</v>
      </c>
      <c r="B21" s="9">
        <v>5</v>
      </c>
      <c r="C21" t="s">
        <v>241</v>
      </c>
    </row>
    <row r="22" spans="1:3" x14ac:dyDescent="0.3">
      <c r="A22" s="37" t="s">
        <v>37</v>
      </c>
      <c r="B22" s="9">
        <v>6</v>
      </c>
      <c r="C22" t="s">
        <v>242</v>
      </c>
    </row>
    <row r="23" spans="1:3" x14ac:dyDescent="0.3">
      <c r="A23" s="15" t="s">
        <v>17</v>
      </c>
      <c r="B23" s="9" t="s">
        <v>243</v>
      </c>
      <c r="C23" t="s">
        <v>244</v>
      </c>
    </row>
    <row r="24" spans="1:3" x14ac:dyDescent="0.3">
      <c r="A24" s="16" t="s">
        <v>221</v>
      </c>
      <c r="B24" s="9" t="s">
        <v>243</v>
      </c>
      <c r="C24" t="s">
        <v>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 Log</vt:lpstr>
      <vt:lpstr>Dashboard</vt:lpstr>
      <vt:lpstr>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Desmond Chua</cp:lastModifiedBy>
  <dcterms:created xsi:type="dcterms:W3CDTF">2026-01-31T02:23:05Z</dcterms:created>
  <dcterms:modified xsi:type="dcterms:W3CDTF">2026-02-06T05:27:15Z</dcterms:modified>
</cp:coreProperties>
</file>